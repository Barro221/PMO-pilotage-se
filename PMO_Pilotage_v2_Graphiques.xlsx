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 2023\Documents\"/>
    </mc:Choice>
  </mc:AlternateContent>
  <xr:revisionPtr revIDLastSave="0" documentId="13_ncr:20001_{B27CBEA3-5CC1-4C4F-A342-10DCF066B43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ENU fr" sheetId="1" r:id="rId1"/>
    <sheet name="HOME" sheetId="2" r:id="rId2"/>
    <sheet name="0. Profil" sheetId="3" r:id="rId3"/>
    <sheet name="1. Environment" sheetId="4" r:id="rId4"/>
    <sheet name="2. Stakeholders" sheetId="5" r:id="rId5"/>
    <sheet name="3. Logical Framework" sheetId="6" r:id="rId6"/>
    <sheet name="4. Performance Questions" sheetId="7" r:id="rId7"/>
    <sheet name="5. Risks Analysis" sheetId="8" r:id="rId8"/>
    <sheet name="6. Indicators selection" sheetId="9" r:id="rId9"/>
    <sheet name="7. Efficacy indicators" sheetId="10" r:id="rId10"/>
    <sheet name="8. Indicators files" sheetId="11" r:id="rId11"/>
    <sheet name="9. Indicators Calendar" sheetId="12" r:id="rId12"/>
    <sheet name="10. Data Collection" sheetId="13" r:id="rId13"/>
    <sheet name="11. M&amp;E Matrix" sheetId="14" r:id="rId14"/>
    <sheet name="12. Disbursement Monitoring" sheetId="15" r:id="rId15"/>
    <sheet name="13. Dashboard" sheetId="16" r:id="rId16"/>
    <sheet name="14. Status report" sheetId="17" r:id="rId17"/>
    <sheet name="15. Evaluation Matrix" sheetId="18" r:id="rId18"/>
    <sheet name="16. Procurement Plan" sheetId="19" r:id="rId19"/>
  </sheets>
  <definedNames>
    <definedName name="BudgetTotal">'0. Profil'!$C$17</definedName>
    <definedName name="CBTP_PV">'12. Disbursement Monitoring'!$C$23</definedName>
    <definedName name="CRTR_AC">'12. Disbursement Monitoring'!$E$23</definedName>
    <definedName name="EAC_Estimation">'13. Dashboard'!$C$15</definedName>
    <definedName name="IPC_CPI">'13. Dashboard'!$C$12</definedName>
    <definedName name="IPE_SPI">'13. Dashboard'!$C$14</definedName>
    <definedName name="PctTravail">'13. Dashboard'!$C$9</definedName>
    <definedName name="VAC_Variance">'13. Dashboard'!$C$16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" i="19" l="1"/>
  <c r="D3" i="18"/>
  <c r="C6" i="16"/>
  <c r="N3" i="16"/>
  <c r="K3" i="16"/>
  <c r="D3" i="16"/>
  <c r="E23" i="15"/>
  <c r="D23" i="15"/>
  <c r="C23" i="15"/>
  <c r="I21" i="15"/>
  <c r="G21" i="15"/>
  <c r="F21" i="15"/>
  <c r="I20" i="15"/>
  <c r="G20" i="15"/>
  <c r="F20" i="15"/>
  <c r="I19" i="15"/>
  <c r="G19" i="15"/>
  <c r="F19" i="15"/>
  <c r="N18" i="15"/>
  <c r="M18" i="15"/>
  <c r="I18" i="15"/>
  <c r="G18" i="15"/>
  <c r="F18" i="15"/>
  <c r="N17" i="15"/>
  <c r="M17" i="15"/>
  <c r="I17" i="15"/>
  <c r="G17" i="15"/>
  <c r="F17" i="15"/>
  <c r="N16" i="15"/>
  <c r="M16" i="15"/>
  <c r="I16" i="15"/>
  <c r="G16" i="15"/>
  <c r="F16" i="15"/>
  <c r="N15" i="15"/>
  <c r="M15" i="15"/>
  <c r="I15" i="15"/>
  <c r="G15" i="15"/>
  <c r="F15" i="15"/>
  <c r="N14" i="15"/>
  <c r="M14" i="15"/>
  <c r="I14" i="15"/>
  <c r="G14" i="15"/>
  <c r="F14" i="15"/>
  <c r="N13" i="15"/>
  <c r="M13" i="15"/>
  <c r="I13" i="15"/>
  <c r="G13" i="15"/>
  <c r="F13" i="15"/>
  <c r="N12" i="15"/>
  <c r="M12" i="15"/>
  <c r="I12" i="15"/>
  <c r="G12" i="15"/>
  <c r="F12" i="15"/>
  <c r="N11" i="15"/>
  <c r="M11" i="15"/>
  <c r="I11" i="15"/>
  <c r="G11" i="15"/>
  <c r="F11" i="15"/>
  <c r="N10" i="15"/>
  <c r="M10" i="15"/>
  <c r="I10" i="15"/>
  <c r="G10" i="15"/>
  <c r="F10" i="15"/>
  <c r="N9" i="15"/>
  <c r="M9" i="15"/>
  <c r="I9" i="15"/>
  <c r="G9" i="15"/>
  <c r="F9" i="15"/>
  <c r="N8" i="15"/>
  <c r="M8" i="15"/>
  <c r="I8" i="15"/>
  <c r="G8" i="15"/>
  <c r="F8" i="15"/>
  <c r="N7" i="15"/>
  <c r="M7" i="15"/>
  <c r="I7" i="15"/>
  <c r="G7" i="15"/>
  <c r="F7" i="15"/>
  <c r="N6" i="15"/>
  <c r="M6" i="15"/>
  <c r="N5" i="15"/>
  <c r="M5" i="15"/>
  <c r="N4" i="15"/>
  <c r="M4" i="15"/>
  <c r="I3" i="15"/>
  <c r="D3" i="15"/>
  <c r="D3" i="14"/>
  <c r="D3" i="13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3" i="11"/>
  <c r="D3" i="10"/>
  <c r="K26" i="9"/>
  <c r="K25" i="9"/>
  <c r="K24" i="9"/>
  <c r="K23" i="9"/>
  <c r="K22" i="9"/>
  <c r="K21" i="9"/>
  <c r="K20" i="9"/>
  <c r="K19" i="9"/>
  <c r="K18" i="9"/>
  <c r="K17" i="9"/>
  <c r="K16" i="9"/>
  <c r="K15" i="9"/>
  <c r="P14" i="9"/>
  <c r="K14" i="9"/>
  <c r="P13" i="9"/>
  <c r="K13" i="9"/>
  <c r="P12" i="9"/>
  <c r="K12" i="9"/>
  <c r="P11" i="9"/>
  <c r="K11" i="9"/>
  <c r="P10" i="9"/>
  <c r="K10" i="9"/>
  <c r="P9" i="9"/>
  <c r="K9" i="9"/>
  <c r="P8" i="9"/>
  <c r="K8" i="9"/>
  <c r="P7" i="9"/>
  <c r="K7" i="9"/>
  <c r="D3" i="9"/>
  <c r="H24" i="8"/>
  <c r="F16" i="8"/>
  <c r="F15" i="8"/>
  <c r="F14" i="8"/>
  <c r="F13" i="8"/>
  <c r="F12" i="8"/>
  <c r="F11" i="8"/>
  <c r="F10" i="8"/>
  <c r="F9" i="8"/>
  <c r="F8" i="8"/>
  <c r="F7" i="8"/>
  <c r="D3" i="8"/>
  <c r="D3" i="7"/>
  <c r="D3" i="6"/>
  <c r="D3" i="5"/>
  <c r="D3" i="4"/>
  <c r="C14" i="3"/>
  <c r="C28" i="2"/>
  <c r="O5" i="1"/>
  <c r="H5" i="1"/>
  <c r="A5" i="1"/>
  <c r="C10" i="16" l="1"/>
  <c r="C8" i="16"/>
  <c r="C7" i="16"/>
  <c r="I23" i="15"/>
  <c r="G23" i="15"/>
  <c r="F23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M14" i="9"/>
  <c r="M13" i="9"/>
  <c r="M12" i="9"/>
  <c r="M11" i="9"/>
  <c r="M10" i="9"/>
  <c r="M9" i="9"/>
  <c r="M8" i="9"/>
  <c r="M7" i="9"/>
  <c r="N34" i="8"/>
  <c r="N32" i="8"/>
  <c r="N31" i="8"/>
  <c r="N30" i="8"/>
  <c r="N29" i="8"/>
  <c r="N28" i="8"/>
  <c r="M26" i="9"/>
  <c r="M25" i="9"/>
  <c r="M24" i="9"/>
  <c r="M23" i="9"/>
  <c r="M22" i="9"/>
  <c r="M21" i="9"/>
  <c r="M20" i="9"/>
  <c r="M19" i="9"/>
  <c r="M18" i="9"/>
  <c r="M17" i="9"/>
  <c r="M16" i="9"/>
  <c r="M15" i="9"/>
  <c r="N33" i="8"/>
  <c r="H23" i="8"/>
  <c r="C28" i="16" s="1"/>
  <c r="H22" i="8"/>
  <c r="H21" i="8"/>
  <c r="C27" i="16" s="1"/>
  <c r="H20" i="8"/>
  <c r="C26" i="16" s="1"/>
  <c r="H19" i="8"/>
  <c r="C25" i="16" s="1"/>
  <c r="G16" i="8"/>
  <c r="G15" i="8"/>
  <c r="G14" i="8"/>
  <c r="G13" i="8"/>
  <c r="G12" i="8"/>
  <c r="G11" i="8"/>
  <c r="G10" i="8"/>
  <c r="G9" i="8"/>
  <c r="G8" i="8"/>
  <c r="G7" i="8"/>
  <c r="C11" i="16" l="1"/>
  <c r="C12" i="16"/>
  <c r="C13" i="16"/>
  <c r="C14" i="16"/>
  <c r="C17" i="16"/>
  <c r="S36" i="16" s="1"/>
  <c r="C15" i="16" l="1"/>
  <c r="D20" i="16"/>
  <c r="D22" i="16"/>
  <c r="C29" i="16"/>
  <c r="S25" i="1" s="1"/>
  <c r="S34" i="16"/>
  <c r="C27" i="17"/>
  <c r="E25" i="1"/>
  <c r="C25" i="2"/>
  <c r="D21" i="16"/>
  <c r="S35" i="16"/>
  <c r="C23" i="17"/>
  <c r="L25" i="1"/>
  <c r="C26" i="2"/>
  <c r="C16" i="16" l="1"/>
  <c r="C27" i="2"/>
  <c r="C28" i="17"/>
</calcChain>
</file>

<file path=xl/sharedStrings.xml><?xml version="1.0" encoding="utf-8"?>
<sst xmlns="http://schemas.openxmlformats.org/spreadsheetml/2006/main" count="500" uniqueCount="399">
  <si>
    <t>🏗️  OUTIL DE PILOTAGE PMO — SUIVI &amp; ÉVALUATION</t>
  </si>
  <si>
    <t>📋  0. PROFIL DU PROJET</t>
  </si>
  <si>
    <t>🌍  1. ANALYSE ENVIRONNEMENT</t>
  </si>
  <si>
    <t>👥  2. PARTIES PRENANTES</t>
  </si>
  <si>
    <t>🗂️  3. CADRE LOGIQUE</t>
  </si>
  <si>
    <t>❓  4. QUESTIONS PERFORMANCE</t>
  </si>
  <si>
    <t>⚠️  5. GESTION DES RISQUES</t>
  </si>
  <si>
    <t>📊  6. SÉLECTION INDICATEURS</t>
  </si>
  <si>
    <t>📈  7. INDICATEURS EFFICACITÉ</t>
  </si>
  <si>
    <t>📄  8. FICHE INDICATEURS</t>
  </si>
  <si>
    <t>📅  9. CALENDRIER INDICATEURS</t>
  </si>
  <si>
    <t>🗃️  10. COLLECTE DE DONNÉES</t>
  </si>
  <si>
    <t>🔍  11. MATRICE S&amp;E</t>
  </si>
  <si>
    <t>💰  12. SUIVI DÉCAISSEMENTS</t>
  </si>
  <si>
    <t>🎯  TABLEAU DE BORD</t>
  </si>
  <si>
    <t>📝  14. RAPPORT D'AVANCEMENT</t>
  </si>
  <si>
    <t>🏆  15. MATRICE D'ÉVALUATION</t>
  </si>
  <si>
    <t>🛒  16. PLAN PASSATION MARCHÉS</t>
  </si>
  <si>
    <t>💰 IPC</t>
  </si>
  <si>
    <t>📅 IPE</t>
  </si>
  <si>
    <t>🎯 EAC Estimé</t>
  </si>
  <si>
    <t>GUIDE D'UTILISATION — OUTIL PMO</t>
  </si>
  <si>
    <t>⬅ MENU</t>
  </si>
  <si>
    <t>ÉTAPE</t>
  </si>
  <si>
    <t>ONGLET</t>
  </si>
  <si>
    <t>DESCRIPTION</t>
  </si>
  <si>
    <t>0</t>
  </si>
  <si>
    <t>Profil du Projet</t>
  </si>
  <si>
    <t>Saisir les informations de base du projet (titre, responsable, budget, dates)</t>
  </si>
  <si>
    <t>1</t>
  </si>
  <si>
    <t>Analyse Environnement</t>
  </si>
  <si>
    <t>Identifier les facteurs externes pouvant impacter le projet</t>
  </si>
  <si>
    <t>2</t>
  </si>
  <si>
    <t>Parties Prenantes</t>
  </si>
  <si>
    <t>Recenser et analyser les acteurs clés</t>
  </si>
  <si>
    <t>3</t>
  </si>
  <si>
    <t>Cadre Logique</t>
  </si>
  <si>
    <t>Structurer la logique d'intervention (MCL)</t>
  </si>
  <si>
    <t>4</t>
  </si>
  <si>
    <t>Questions Performance</t>
  </si>
  <si>
    <t>Définir les questions d'évaluation par niveau de résultats</t>
  </si>
  <si>
    <t>5</t>
  </si>
  <si>
    <t>Gestion des Risques</t>
  </si>
  <si>
    <t>Identifier, scorer et planifier la mitigation des risques</t>
  </si>
  <si>
    <t>6</t>
  </si>
  <si>
    <t>Sélection Indicateurs</t>
  </si>
  <si>
    <t>Évaluer et sélectionner les indicateurs SMARTIES</t>
  </si>
  <si>
    <t>7</t>
  </si>
  <si>
    <t>Indicateurs Efficacité</t>
  </si>
  <si>
    <t>Documenter les indicateurs d'efficience et efficacité</t>
  </si>
  <si>
    <t>8</t>
  </si>
  <si>
    <t>Fiche Indicateurs</t>
  </si>
  <si>
    <t>Décrire chaque indicateur en détail (baseline, cibles, sources)</t>
  </si>
  <si>
    <t>9</t>
  </si>
  <si>
    <t>Calendrier Indicateurs</t>
  </si>
  <si>
    <t>Planifier les valeurs cibles par trimestre sur 5 ans</t>
  </si>
  <si>
    <t>10</t>
  </si>
  <si>
    <t>Collecte de Données</t>
  </si>
  <si>
    <t>Définir les mécanismes de collecte</t>
  </si>
  <si>
    <t>11</t>
  </si>
  <si>
    <t>Matrice S&amp;E</t>
  </si>
  <si>
    <t>Plan de communication et besoins informationnels des parties prenantes</t>
  </si>
  <si>
    <t>12</t>
  </si>
  <si>
    <t>Suivi Décaissements ⭐</t>
  </si>
  <si>
    <t>SAISIR les dépenses réelles → alimente automatiquement le Dashboard</t>
  </si>
  <si>
    <t>13</t>
  </si>
  <si>
    <t>Tableau de Bord ⭐</t>
  </si>
  <si>
    <t>Vue synthétique IPC/IPE/EAC — calculé automatiquement</t>
  </si>
  <si>
    <t>14</t>
  </si>
  <si>
    <t>Rapport d'Avancement</t>
  </si>
  <si>
    <t>Rédiger et exporter le rapport périodique</t>
  </si>
  <si>
    <t>15</t>
  </si>
  <si>
    <t>Matrice d'Évaluation</t>
  </si>
  <si>
    <t>Cadrer les évaluations selon les critères DAC</t>
  </si>
  <si>
    <t>16</t>
  </si>
  <si>
    <t>Plan Passation Marchés</t>
  </si>
  <si>
    <t>Suivre les processus d'acquisition</t>
  </si>
  <si>
    <t>📊  INDICATEURS EN TEMPS RÉEL</t>
  </si>
  <si>
    <t>IPC — Indice Coûts</t>
  </si>
  <si>
    <t>IPE — Indice Calendrier</t>
  </si>
  <si>
    <t>EAC — Estimé Achèvement</t>
  </si>
  <si>
    <t>STATUT GLOBAL</t>
  </si>
  <si>
    <t>PROFIL DU PROJET</t>
  </si>
  <si>
    <t>INFORMATIONS GÉNÉRALES DU PROJET</t>
  </si>
  <si>
    <t>Titre du Projet</t>
  </si>
  <si>
    <t>No du Projet / Code</t>
  </si>
  <si>
    <t>Responsable / Chef de Projet</t>
  </si>
  <si>
    <t>Unité de Gestion</t>
  </si>
  <si>
    <t>Pays</t>
  </si>
  <si>
    <t>Secteur</t>
  </si>
  <si>
    <t>Thème</t>
  </si>
  <si>
    <t>Date de début</t>
  </si>
  <si>
    <t>Date de fin</t>
  </si>
  <si>
    <t>Durée totale (mois)</t>
  </si>
  <si>
    <t>Agence de financement</t>
  </si>
  <si>
    <t>Agence principale</t>
  </si>
  <si>
    <t>Budget Total (FCFA)</t>
  </si>
  <si>
    <t>OBJECTIFS ET DESCRIPTION DU PROJET</t>
  </si>
  <si>
    <t>Objectifs du projet</t>
  </si>
  <si>
    <t>Composantes principales</t>
  </si>
  <si>
    <t>Description du projet</t>
  </si>
  <si>
    <t>ANALYSE DE L'ENVIRONNEMENT</t>
  </si>
  <si>
    <t>Projet :</t>
  </si>
  <si>
    <t>DIMENSIONS ENVIRONNEMENTALES DU PROJET (PESTEL)</t>
  </si>
  <si>
    <t>Dimension</t>
  </si>
  <si>
    <t>Paramètre principal</t>
  </si>
  <si>
    <t>Parties Prenantes concernées</t>
  </si>
  <si>
    <t>Opportunités</t>
  </si>
  <si>
    <t>Risques</t>
  </si>
  <si>
    <t>ANALYSE DES PARTIES PRENANTES</t>
  </si>
  <si>
    <t>IDENTIFICATION ET STRATÉGIE — PARTIES PRENANTES</t>
  </si>
  <si>
    <t>No</t>
  </si>
  <si>
    <t>Objectifs / Intérêts</t>
  </si>
  <si>
    <t>Pouvoir / Importance</t>
  </si>
  <si>
    <t>Action potentielle (+/-)</t>
  </si>
  <si>
    <t>Stratégie à implanter</t>
  </si>
  <si>
    <t>Action à prendre</t>
  </si>
  <si>
    <t>Priorité</t>
  </si>
  <si>
    <t>CADRE LOGIQUE (MCL)</t>
  </si>
  <si>
    <t>MATRICE DU CADRE LOGIQUE</t>
  </si>
  <si>
    <t>NARRATIF DU PROJET
(Paramètres)</t>
  </si>
  <si>
    <t>INDICATEURS DE RÉSULTATS
(IOV)</t>
  </si>
  <si>
    <t>MOYENS DE VÉRIFICATION</t>
  </si>
  <si>
    <t>SUPPOSITION CRITIQUE</t>
  </si>
  <si>
    <t>NIVEAU</t>
  </si>
  <si>
    <t>OBJECTIF DU PROGRAMME
(Impact)</t>
  </si>
  <si>
    <t>OBJECTIF DU PROJET
(Effet)</t>
  </si>
  <si>
    <t>EXTRANTS</t>
  </si>
  <si>
    <t>INTRANTS</t>
  </si>
  <si>
    <t>QUESTIONS DE PERFORMANCE</t>
  </si>
  <si>
    <t>CHAÎNE DE RÉSULTATS — PARTIES PRENANTES — QUESTIONS DE PERFORMANCE</t>
  </si>
  <si>
    <t>Chaîne de résultats</t>
  </si>
  <si>
    <t>Questions de Performance</t>
  </si>
  <si>
    <t>Indicateurs associés</t>
  </si>
  <si>
    <t>GESTION &amp; ANALYSE DES RISQUES</t>
  </si>
  <si>
    <t>REGISTRE DES RISQUES — MATRICE DE SCORING</t>
  </si>
  <si>
    <t>ID</t>
  </si>
  <si>
    <t>DESCRIPTION DU RISQUE</t>
  </si>
  <si>
    <t>CATÉGORIE</t>
  </si>
  <si>
    <t>PROBABILITÉ
(1-5)</t>
  </si>
  <si>
    <t>IMPACT
(1-5)</t>
  </si>
  <si>
    <t>SCORE
(P × I)</t>
  </si>
  <si>
    <t>STRATÉGIE DE MITIGATION</t>
  </si>
  <si>
    <t>RESPONSABLE</t>
  </si>
  <si>
    <t>FRÉQUENCE</t>
  </si>
  <si>
    <t>STATUT</t>
  </si>
  <si>
    <t>Dépassement budget composante 1</t>
  </si>
  <si>
    <t>Financier</t>
  </si>
  <si>
    <t>Retard livraisons équipements</t>
  </si>
  <si>
    <t>Technique</t>
  </si>
  <si>
    <t>Rotation élevée du personnel</t>
  </si>
  <si>
    <t>Organisationnel</t>
  </si>
  <si>
    <t>Inondations saisonnières</t>
  </si>
  <si>
    <t>Environnemental</t>
  </si>
  <si>
    <t>Changement politique fiscal</t>
  </si>
  <si>
    <t>Politique</t>
  </si>
  <si>
    <t>Résistance communautaire</t>
  </si>
  <si>
    <t>Social</t>
  </si>
  <si>
    <t>Panne système informatique</t>
  </si>
  <si>
    <t>Délais validation administrative</t>
  </si>
  <si>
    <t>Fluctuation taux de change</t>
  </si>
  <si>
    <t>Risque sécuritaire zone d'intervention</t>
  </si>
  <si>
    <t>Autre</t>
  </si>
  <si>
    <t>SYNTHÈSE — TABLEAU DE BORD RISQUES</t>
  </si>
  <si>
    <t>Nb risques CRITIQUES (score ≥ 16)</t>
  </si>
  <si>
    <t>Nb risques ÉLEVÉS (9 ≤ score &lt; 16)</t>
  </si>
  <si>
    <t>Nb risques MODÉRÉS (4 ≤ score &lt; 9)</t>
  </si>
  <si>
    <t>Nb risques FAIBLES (score &lt; 4)</t>
  </si>
  <si>
    <t>Score moyen global</t>
  </si>
  <si>
    <t>Risque le plus critique (description)</t>
  </si>
  <si>
    <t>DONNÉES RADAR — Score par Catégorie</t>
  </si>
  <si>
    <t>Catégorie</t>
  </si>
  <si>
    <t>Score Moyen</t>
  </si>
  <si>
    <t>SÉLECTION D'INDICATEURS — CRITÈRES SMARTIES</t>
  </si>
  <si>
    <t>GRILLE D'ÉVALUATION SMARTIES (Score 1-5 par critère)</t>
  </si>
  <si>
    <t>Indicateur</t>
  </si>
  <si>
    <t>S</t>
  </si>
  <si>
    <t>M</t>
  </si>
  <si>
    <t>A</t>
  </si>
  <si>
    <t>R</t>
  </si>
  <si>
    <t>T</t>
  </si>
  <si>
    <t>I</t>
  </si>
  <si>
    <t>E</t>
  </si>
  <si>
    <t>Score
(%)</t>
  </si>
  <si>
    <t>Seuil</t>
  </si>
  <si>
    <t>Choix</t>
  </si>
  <si>
    <t>DONNÉES RADAR SMARTIES</t>
  </si>
  <si>
    <t>Max</t>
  </si>
  <si>
    <t>Légende : 1 = Très faible → 5 = Très élevé. Score % = Somme/(8×5). Choix si Score % &gt; 60%</t>
  </si>
  <si>
    <t>Critère</t>
  </si>
  <si>
    <t>Moy. /5</t>
  </si>
  <si>
    <t>Impact</t>
  </si>
  <si>
    <t>Indicateur 1</t>
  </si>
  <si>
    <t>S — Spécifique</t>
  </si>
  <si>
    <t>Indicateur 2</t>
  </si>
  <si>
    <t>M — Mesurable</t>
  </si>
  <si>
    <t>Indicateur 3</t>
  </si>
  <si>
    <t>A — Atteignable</t>
  </si>
  <si>
    <t>Effet</t>
  </si>
  <si>
    <t>R — Réaliste</t>
  </si>
  <si>
    <t>T — Temporel</t>
  </si>
  <si>
    <t>I — Indépendant</t>
  </si>
  <si>
    <t>Indicateur 4</t>
  </si>
  <si>
    <t>E — Éthique</t>
  </si>
  <si>
    <t>Indicateur 5</t>
  </si>
  <si>
    <t>S — Sensible genre</t>
  </si>
  <si>
    <t>Extrants</t>
  </si>
  <si>
    <t>Indicateur 6</t>
  </si>
  <si>
    <t>Intrants</t>
  </si>
  <si>
    <t>INDICATEURS D'EFFICACITÉ</t>
  </si>
  <si>
    <t>CHAÎNE DES RÉSULTATS — INDICATEURS D'EFFICIENCE &amp; EFFICACITÉ</t>
  </si>
  <si>
    <t>Narratif du Projet
(Paramètres)</t>
  </si>
  <si>
    <t>Indicateurs de Résultats (IOV)</t>
  </si>
  <si>
    <t>Indicateurs de Risque</t>
  </si>
  <si>
    <t>Indicateur d'Efficacité</t>
  </si>
  <si>
    <t>Fréquence</t>
  </si>
  <si>
    <t>Responsable</t>
  </si>
  <si>
    <t>FICHE D'INDICATEURS</t>
  </si>
  <si>
    <t>DOCUMENTATION DÉTAILLÉE DES INDICATEURS</t>
  </si>
  <si>
    <t>Nom de l'indicateur</t>
  </si>
  <si>
    <t>Objectif lié</t>
  </si>
  <si>
    <t>Niveau</t>
  </si>
  <si>
    <t>Définition</t>
  </si>
  <si>
    <t>Baseline</t>
  </si>
  <si>
    <t>Cible finale</t>
  </si>
  <si>
    <t>Unité</t>
  </si>
  <si>
    <t>Source de vérification</t>
  </si>
  <si>
    <t>Méthode collecte</t>
  </si>
  <si>
    <t>CALENDRIER DES INDICATEURS — SUIVI TRIMESTRIEL 5 ANS</t>
  </si>
  <si>
    <t>Calendrier de suivi</t>
  </si>
  <si>
    <t>Année 1</t>
  </si>
  <si>
    <t>Année 2</t>
  </si>
  <si>
    <t>Année 3</t>
  </si>
  <si>
    <t>Année 4</t>
  </si>
  <si>
    <t>Année 5</t>
  </si>
  <si>
    <t>RÉSULTATS</t>
  </si>
  <si>
    <t>Type/Données</t>
  </si>
  <si>
    <t>Q1</t>
  </si>
  <si>
    <t>Q2</t>
  </si>
  <si>
    <t>Q3</t>
  </si>
  <si>
    <t>Q4</t>
  </si>
  <si>
    <t>IMPACT</t>
  </si>
  <si>
    <t>Indicateur IMP.1</t>
  </si>
  <si>
    <t>Unité / fréquence</t>
  </si>
  <si>
    <t>Cible</t>
  </si>
  <si>
    <t>Réel</t>
  </si>
  <si>
    <t>Déviation</t>
  </si>
  <si>
    <t>Commentaires</t>
  </si>
  <si>
    <t>EFFET</t>
  </si>
  <si>
    <t>Indicateur EFF.1</t>
  </si>
  <si>
    <t>Indicateur EXT.1</t>
  </si>
  <si>
    <t>COLLECTE DE DONNÉES</t>
  </si>
  <si>
    <t>MÉCANISMES DE COLLECTE PAR INDICATEUR</t>
  </si>
  <si>
    <t>Chaîne résultats</t>
  </si>
  <si>
    <t>Moyen de vérification</t>
  </si>
  <si>
    <t>Type données</t>
  </si>
  <si>
    <t>Technique collecte</t>
  </si>
  <si>
    <t>Valeurs mesurées</t>
  </si>
  <si>
    <t>Période</t>
  </si>
  <si>
    <t>Coût</t>
  </si>
  <si>
    <t>MATRICE DE SUIVI &amp; ÉVALUATION</t>
  </si>
  <si>
    <t>PLAN DE COMMUNICATION S&amp;E — BESOINS INFORMATIONNELS</t>
  </si>
  <si>
    <t>Poids &amp; Stratégie</t>
  </si>
  <si>
    <t>Besoin d'information &amp; Indicateurs</t>
  </si>
  <si>
    <t>Info état initial</t>
  </si>
  <si>
    <t>Traitement</t>
  </si>
  <si>
    <t>Dissémination</t>
  </si>
  <si>
    <t>Motifs</t>
  </si>
  <si>
    <t>SUIVI DES DÉCAISSEMENTS &amp; ANALYSE DE LA VALEUR ACQUISE</t>
  </si>
  <si>
    <t>COURBE EN S — DONNÉES CUMULÉES</t>
  </si>
  <si>
    <t>Date de mise à jour :</t>
  </si>
  <si>
    <t>Composante</t>
  </si>
  <si>
    <t>CBTP Cumulé</t>
  </si>
  <si>
    <t>CRTR Cumulé</t>
  </si>
  <si>
    <t>Comp. 1</t>
  </si>
  <si>
    <t>LIGNE BUDGÉTAIRE</t>
  </si>
  <si>
    <t>CBTP
(Planifié)
(1)</t>
  </si>
  <si>
    <t>CRTE
(Engagé)
(2)</t>
  </si>
  <si>
    <t>CRTR
(Payé)
(3)</t>
  </si>
  <si>
    <t>VARIANCES</t>
  </si>
  <si>
    <t>ALERT</t>
  </si>
  <si>
    <t>% Cons.</t>
  </si>
  <si>
    <t>COMMENTAIRES</t>
  </si>
  <si>
    <t>Comp. 2</t>
  </si>
  <si>
    <t>(1)-(2)</t>
  </si>
  <si>
    <t>(1)-(3)</t>
  </si>
  <si>
    <t>Comp. 3</t>
  </si>
  <si>
    <t>Composante 1 — Personnel</t>
  </si>
  <si>
    <t>Comp. 4</t>
  </si>
  <si>
    <t>Composante 2 — Consultants</t>
  </si>
  <si>
    <t>Comp. 5</t>
  </si>
  <si>
    <t>Composante 3 — Formation</t>
  </si>
  <si>
    <t>Comp. 6</t>
  </si>
  <si>
    <t>Composante 4 — Équipements</t>
  </si>
  <si>
    <t>Comp. 7</t>
  </si>
  <si>
    <t>Composante 5 — Missions / Déplacements</t>
  </si>
  <si>
    <t>Comp. 8</t>
  </si>
  <si>
    <t>Composante 6 — Ateliers / Réunions</t>
  </si>
  <si>
    <t>Comp. 9</t>
  </si>
  <si>
    <t>Composante 7 — Infrastructures</t>
  </si>
  <si>
    <t>Comp. 10</t>
  </si>
  <si>
    <t>Composante 8 — Sous-traitance</t>
  </si>
  <si>
    <t>Comp. 11</t>
  </si>
  <si>
    <t>Composante 9 — Communication</t>
  </si>
  <si>
    <t>Comp. 12</t>
  </si>
  <si>
    <t>Composante 10 — Frais généraux</t>
  </si>
  <si>
    <t>Comp. 13</t>
  </si>
  <si>
    <t>Composante 11 — Imprévus</t>
  </si>
  <si>
    <t>Comp. 14</t>
  </si>
  <si>
    <t>Composante 12 — Évaluation</t>
  </si>
  <si>
    <t>Comp. 15</t>
  </si>
  <si>
    <t>Composante 13 — Audit</t>
  </si>
  <si>
    <t>Composante 14 — Gestion du projet</t>
  </si>
  <si>
    <t>Composante 15 — Autres</t>
  </si>
  <si>
    <t>TOTAUX</t>
  </si>
  <si>
    <t>🎯  TABLEAU DE BORD — ANALYSE DE LA VALEUR ACQUISE (EVM)</t>
  </si>
  <si>
    <t>Responsable :</t>
  </si>
  <si>
    <t>INDICATEURS CLÉS DE PERFORMANCE (EVM)</t>
  </si>
  <si>
    <t>COÛT BUDGÉTÉ DU PROJET (Budget Total)</t>
  </si>
  <si>
    <t>Budget saisi dans 0. Profil</t>
  </si>
  <si>
    <t>CBTP — Valeur Planifiée (PV)</t>
  </si>
  <si>
    <t>Total planifié onglet 12</t>
  </si>
  <si>
    <t>CRTR — Coût Réel (AC)</t>
  </si>
  <si>
    <t>Total payé onglet 12</t>
  </si>
  <si>
    <t>% TRAVAIL EFFECTUÉ (saisir manuellement)</t>
  </si>
  <si>
    <t>INPUT — % physique d'avancement</t>
  </si>
  <si>
    <t>CBTE — Valeur Acquise (EV)</t>
  </si>
  <si>
    <t>Budget × % travail</t>
  </si>
  <si>
    <t>VARIATION SUR LES COÛTS (CV = EV - AC)</t>
  </si>
  <si>
    <t>Positif = sous budget</t>
  </si>
  <si>
    <t>INDICE PERF. COÛTS — IPC (CPI = EV/AC)</t>
  </si>
  <si>
    <t>IPC &gt; 1 = sous budget</t>
  </si>
  <si>
    <t>VARIATION ÉCHÉANCIER (SV = EV - PV)</t>
  </si>
  <si>
    <t>Positif = en avance</t>
  </si>
  <si>
    <t>INDICE PERF. ÉCHÉANCIER — IPE (SPI = EV/PV)</t>
  </si>
  <si>
    <t>IPE &gt; 1 = en avance</t>
  </si>
  <si>
    <t>EAC — Estimé à l'Achèvement (Budget/IPC)</t>
  </si>
  <si>
    <t>Projection coût final</t>
  </si>
  <si>
    <t>VAC — Variance à l'Achèvement (Budget - EAC)</t>
  </si>
  <si>
    <t>Positif = économies prévues</t>
  </si>
  <si>
    <t>TCPI — Indice Perf. Restante (Reste/Budget restant)</t>
  </si>
  <si>
    <t>TCPI &lt; 1 = objectif atteignable</t>
  </si>
  <si>
    <t>STATUT GLOBAL DU PROJET</t>
  </si>
  <si>
    <t>STATUT COÛTS (IPC)</t>
  </si>
  <si>
    <t>STATUT CALENDRIER (IPE)</t>
  </si>
  <si>
    <t>STATUT GLOBAL PROJET</t>
  </si>
  <si>
    <t>SYNTHÈSE RISQUES (depuis onglet 5)</t>
  </si>
  <si>
    <t>🔴 Risques CRITIQUES</t>
  </si>
  <si>
    <t>🟠 Risques ÉLEVÉS</t>
  </si>
  <si>
    <t>🟡 Risques MODÉRÉS</t>
  </si>
  <si>
    <t>Score moyen risques</t>
  </si>
  <si>
    <t>📊  VISUALISATIONS DYNAMIQUES</t>
  </si>
  <si>
    <t>Indice</t>
  </si>
  <si>
    <t>Valeur</t>
  </si>
  <si>
    <t>IPC</t>
  </si>
  <si>
    <t>IPE</t>
  </si>
  <si>
    <t>TCPI</t>
  </si>
  <si>
    <t>RAPPORT D'AVANCEMENT DU PROJET</t>
  </si>
  <si>
    <t>INFORMATIONS GÉNÉRALES</t>
  </si>
  <si>
    <t>Période du rapport :</t>
  </si>
  <si>
    <t>Responsable du suivi :</t>
  </si>
  <si>
    <t>1. OBJECTIF DU PROJET</t>
  </si>
  <si>
    <t>2. COMMENTAIRES GÉNÉRAUX</t>
  </si>
  <si>
    <t>3. ÉTAT D'AVANCEMENT EXTRANTS</t>
  </si>
  <si>
    <t>4. ANALYSE DES DÉVIATIONS</t>
  </si>
  <si>
    <t>4.1 PERFORMANCE CALENDRIER (IPE)</t>
  </si>
  <si>
    <t>IPE (depuis Dashboard) :</t>
  </si>
  <si>
    <t>Retard en jours :</t>
  </si>
  <si>
    <t>4.2 PERFORMANCE COÛTS (IPC)</t>
  </si>
  <si>
    <t>IPC (depuis Dashboard) :</t>
  </si>
  <si>
    <t>EAC (depuis Dashboard) :</t>
  </si>
  <si>
    <t>5. PASSATION DE MARCHÉS</t>
  </si>
  <si>
    <t>DAO</t>
  </si>
  <si>
    <t>Date planifiée</t>
  </si>
  <si>
    <t>Date réelle</t>
  </si>
  <si>
    <t>Signature planifiée</t>
  </si>
  <si>
    <t>Signature réelle</t>
  </si>
  <si>
    <t>6. RECOMMANDATIONS</t>
  </si>
  <si>
    <t>7. ANNEXES</t>
  </si>
  <si>
    <t>MATRICE D'ÉVALUATION</t>
  </si>
  <si>
    <t>FOCUS ÉVALUATION — CRITÈRES DAC &amp; CYCLE DE PROJET</t>
  </si>
  <si>
    <t>Indicateurs</t>
  </si>
  <si>
    <t>Pertinence</t>
  </si>
  <si>
    <t>Efficacité</t>
  </si>
  <si>
    <t>Efficience</t>
  </si>
  <si>
    <t>Questions d'évaluation</t>
  </si>
  <si>
    <t>Phase du projet</t>
  </si>
  <si>
    <t>PLAN DE PASSATION DES MARCHÉS</t>
  </si>
  <si>
    <t>SUIVI DES ACQUISITIONS ET CONTRATS</t>
  </si>
  <si>
    <t>Description</t>
  </si>
  <si>
    <t>Nb Lots</t>
  </si>
  <si>
    <t>Date soumission PTF</t>
  </si>
  <si>
    <t>Approbation PT&amp;F</t>
  </si>
  <si>
    <t>Référence doc</t>
  </si>
  <si>
    <t>Date soumission PPM</t>
  </si>
  <si>
    <t>Non-objection bailleurs</t>
  </si>
  <si>
    <t>PPM approuvé Ministre</t>
  </si>
  <si>
    <t>Date</t>
  </si>
  <si>
    <t>Lettre référence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</si>
</sst>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#,##0.0"/>
    <numFmt numFmtId="166" formatCode="#,##0.0;\(#,##0.0\);\-"/>
    <numFmt numFmtId="167" formatCode="#,##0;\(#,##0\);\-"/>
    <numFmt numFmtId="168" formatCode="0.0%"/>
  </numFmts>
  <fonts count="50" x14ac:knownFonts="1">
    <font>
      <sz val="11"/>
      <color theme="1"/>
      <name val="Calibri"/>
      <family val="2"/>
      <charset val="1"/>
    </font>
    <font>
      <b/>
      <sz val="20"/>
      <color rgb="FFFFFFFF"/>
      <name val="Calibri Light"/>
      <charset val="1"/>
    </font>
    <font>
      <b/>
      <sz val="10"/>
      <color rgb="FF00B4D8"/>
      <name val="Calibri"/>
      <charset val="1"/>
    </font>
    <font>
      <sz val="10"/>
      <color rgb="FFFFFFFF"/>
      <name val="Calibri"/>
      <charset val="1"/>
    </font>
    <font>
      <sz val="10"/>
      <color rgb="FFE9A825"/>
      <name val="Calibri"/>
      <charset val="1"/>
    </font>
    <font>
      <b/>
      <sz val="10"/>
      <color rgb="FFFFFFFF"/>
      <name val="Calibri"/>
      <charset val="1"/>
    </font>
    <font>
      <b/>
      <sz val="14"/>
      <color rgb="FF0D1B2A"/>
      <name val="Calibri Light"/>
      <charset val="1"/>
    </font>
    <font>
      <b/>
      <sz val="9"/>
      <color rgb="FF8899A6"/>
      <name val="Calibri"/>
      <charset val="1"/>
    </font>
    <font>
      <b/>
      <sz val="20"/>
      <color rgb="FF00B4D8"/>
      <name val="Calibri Light"/>
      <charset val="1"/>
    </font>
    <font>
      <b/>
      <sz val="20"/>
      <color rgb="FFE9A825"/>
      <name val="Calibri Light"/>
      <charset val="1"/>
    </font>
    <font>
      <b/>
      <sz val="8"/>
      <color rgb="FF8899A6"/>
      <name val="Calibri"/>
      <charset val="1"/>
    </font>
    <font>
      <b/>
      <sz val="11"/>
      <color rgb="FFFFFFFF"/>
      <name val="Calibri Light"/>
      <charset val="1"/>
    </font>
    <font>
      <b/>
      <sz val="16"/>
      <color rgb="FFFFFFFF"/>
      <name val="Calibri Light"/>
      <charset val="1"/>
    </font>
    <font>
      <b/>
      <u/>
      <sz val="9"/>
      <color rgb="FF00B4D8"/>
      <name val="Calibri"/>
      <charset val="1"/>
    </font>
    <font>
      <sz val="10"/>
      <color rgb="FF1F4E79"/>
      <name val="Calibri"/>
      <charset val="1"/>
    </font>
    <font>
      <sz val="10"/>
      <color rgb="FF000000"/>
      <name val="Calibri"/>
      <charset val="1"/>
    </font>
    <font>
      <b/>
      <sz val="13"/>
      <color rgb="FF00B4D8"/>
      <name val="Calibri Light"/>
      <charset val="1"/>
    </font>
    <font>
      <b/>
      <sz val="13"/>
      <color rgb="FFE9A825"/>
      <name val="Calibri Light"/>
      <charset val="1"/>
    </font>
    <font>
      <b/>
      <sz val="13"/>
      <color rgb="FF27AE60"/>
      <name val="Calibri Light"/>
      <charset val="1"/>
    </font>
    <font>
      <b/>
      <sz val="13"/>
      <color rgb="FFFFFFFF"/>
      <name val="Calibri Light"/>
      <charset val="1"/>
    </font>
    <font>
      <b/>
      <sz val="11"/>
      <color rgb="FFFFFFFF"/>
      <name val="Calibri"/>
      <charset val="1"/>
    </font>
    <font>
      <sz val="10"/>
      <color rgb="FF0000FF"/>
      <name val="Calibri"/>
      <charset val="1"/>
    </font>
    <font>
      <b/>
      <sz val="9"/>
      <color rgb="FFFFFFFF"/>
      <name val="Calibri"/>
      <charset val="1"/>
    </font>
    <font>
      <sz val="9"/>
      <color rgb="FF008000"/>
      <name val="Calibri"/>
      <charset val="1"/>
    </font>
    <font>
      <sz val="9"/>
      <color rgb="FF0000FF"/>
      <name val="Calibri"/>
      <charset val="1"/>
    </font>
    <font>
      <sz val="10"/>
      <color rgb="FF008000"/>
      <name val="Calibri"/>
      <charset val="1"/>
    </font>
    <font>
      <b/>
      <sz val="10"/>
      <color rgb="FF0000FF"/>
      <name val="Calibri"/>
      <charset val="1"/>
    </font>
    <font>
      <b/>
      <sz val="10"/>
      <color rgb="FF000000"/>
      <name val="Calibri"/>
      <charset val="1"/>
    </font>
    <font>
      <b/>
      <sz val="9"/>
      <color rgb="FF000000"/>
      <name val="Calibri"/>
      <charset val="1"/>
    </font>
    <font>
      <sz val="9"/>
      <color rgb="FF000000"/>
      <name val="Calibri"/>
      <charset val="1"/>
    </font>
    <font>
      <b/>
      <sz val="9"/>
      <color rgb="FF0D1B2A"/>
      <name val="Calibri"/>
      <charset val="1"/>
    </font>
    <font>
      <i/>
      <sz val="8"/>
      <color rgb="FF8899A6"/>
      <name val="Calibri"/>
      <charset val="1"/>
    </font>
    <font>
      <sz val="9"/>
      <color rgb="FF8899A6"/>
      <name val="Calibri"/>
      <charset val="1"/>
    </font>
    <font>
      <b/>
      <sz val="10"/>
      <color rgb="FF0D1B2A"/>
      <name val="Calibri"/>
      <charset val="1"/>
    </font>
    <font>
      <sz val="8"/>
      <color rgb="FFC0392B"/>
      <name val="Calibri"/>
      <charset val="1"/>
    </font>
    <font>
      <b/>
      <sz val="8"/>
      <color rgb="FFFFFFFF"/>
      <name val="Calibri"/>
      <charset val="1"/>
    </font>
    <font>
      <i/>
      <sz val="9"/>
      <color rgb="FF0000FF"/>
      <name val="Calibri"/>
      <charset val="1"/>
    </font>
    <font>
      <sz val="8"/>
      <color rgb="FF0000FF"/>
      <name val="Calibri"/>
      <charset val="1"/>
    </font>
    <font>
      <sz val="8"/>
      <color rgb="FF000000"/>
      <name val="Calibri"/>
      <charset val="1"/>
    </font>
    <font>
      <b/>
      <sz val="10"/>
      <color rgb="FF008000"/>
      <name val="Calibri"/>
      <charset val="1"/>
    </font>
    <font>
      <sz val="8"/>
      <color rgb="FF0D1B2A"/>
      <name val="Calibri"/>
      <charset val="1"/>
    </font>
    <font>
      <sz val="8"/>
      <color rgb="FF27AE60"/>
      <name val="Calibri"/>
      <charset val="1"/>
    </font>
    <font>
      <b/>
      <sz val="18"/>
      <color rgb="FF00B4D8"/>
      <name val="Calibri Light"/>
      <charset val="1"/>
    </font>
    <font>
      <b/>
      <sz val="12"/>
      <color rgb="FF00B4D8"/>
      <name val="Calibri"/>
      <charset val="1"/>
    </font>
    <font>
      <b/>
      <sz val="12"/>
      <color rgb="FF0000FF"/>
      <name val="Calibri"/>
      <charset val="1"/>
    </font>
    <font>
      <b/>
      <sz val="12"/>
      <color rgb="FFE9A825"/>
      <name val="Calibri"/>
      <charset val="1"/>
    </font>
    <font>
      <b/>
      <sz val="11"/>
      <color rgb="FF00B4D8"/>
      <name val="Calibri"/>
      <charset val="1"/>
    </font>
    <font>
      <b/>
      <sz val="11"/>
      <color rgb="FFE9A825"/>
      <name val="Calibri"/>
      <charset val="1"/>
    </font>
    <font>
      <b/>
      <sz val="9"/>
      <color theme="2"/>
      <name val="Calibri"/>
      <family val="2"/>
    </font>
    <font>
      <b/>
      <sz val="11"/>
      <color theme="2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0D1B2A"/>
        <bgColor rgb="FF001A2E"/>
      </patternFill>
    </fill>
    <fill>
      <patternFill patternType="solid">
        <fgColor rgb="FF1F4E79"/>
        <bgColor rgb="FF1A5276"/>
      </patternFill>
    </fill>
    <fill>
      <patternFill patternType="solid">
        <fgColor rgb="FF8B0000"/>
        <bgColor rgb="FF3D0000"/>
      </patternFill>
    </fill>
    <fill>
      <patternFill patternType="solid">
        <fgColor rgb="FF1A5276"/>
        <bgColor rgb="FF1F4E79"/>
      </patternFill>
    </fill>
    <fill>
      <patternFill patternType="solid">
        <fgColor rgb="FF00B4D8"/>
        <bgColor rgb="FF1ABC9C"/>
      </patternFill>
    </fill>
    <fill>
      <patternFill patternType="solid">
        <fgColor rgb="FF1A1A2E"/>
        <bgColor rgb="FF0D1B2A"/>
      </patternFill>
    </fill>
    <fill>
      <patternFill patternType="solid">
        <fgColor rgb="FF0F0F1E"/>
        <bgColor rgb="FF0D1B2A"/>
      </patternFill>
    </fill>
    <fill>
      <patternFill patternType="solid">
        <fgColor rgb="FFFFFFFF"/>
        <bgColor rgb="FFFEF9E7"/>
      </patternFill>
    </fill>
    <fill>
      <patternFill patternType="solid">
        <fgColor rgb="FFF4F6F8"/>
        <bgColor rgb="FFEBF5FB"/>
      </patternFill>
    </fill>
    <fill>
      <patternFill patternType="solid">
        <fgColor rgb="FFEBF5FB"/>
        <bgColor rgb="FFF4F6F8"/>
      </patternFill>
    </fill>
    <fill>
      <patternFill patternType="solid">
        <fgColor rgb="FFC0392B"/>
        <bgColor rgb="FFD82040"/>
      </patternFill>
    </fill>
    <fill>
      <patternFill patternType="solid">
        <fgColor rgb="FF17406A"/>
        <bgColor rgb="FF0F3460"/>
      </patternFill>
    </fill>
    <fill>
      <patternFill patternType="solid">
        <fgColor rgb="FFFEF9E7"/>
        <bgColor rgb="FFF4F6F8"/>
      </patternFill>
    </fill>
    <fill>
      <patternFill patternType="solid">
        <fgColor rgb="FF0F3460"/>
        <bgColor rgb="FF17406A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A1A2E"/>
      </top>
      <bottom style="thin">
        <color rgb="FF1A1A2E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medium">
        <color rgb="FF1F4E79"/>
      </left>
      <right/>
      <top style="medium">
        <color rgb="FF1F4E79"/>
      </top>
      <bottom style="medium">
        <color rgb="FF1F4E79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11" fillId="8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horizontal="center" vertical="top"/>
    </xf>
    <xf numFmtId="2" fontId="9" fillId="8" borderId="0" xfId="0" applyNumberFormat="1" applyFont="1" applyFill="1" applyAlignment="1">
      <alignment horizontal="center" vertical="center"/>
    </xf>
    <xf numFmtId="2" fontId="8" fillId="8" borderId="0" xfId="0" applyNumberFormat="1" applyFont="1" applyFill="1" applyAlignment="1">
      <alignment horizontal="center" vertical="center"/>
    </xf>
    <xf numFmtId="0" fontId="7" fillId="8" borderId="0" xfId="0" applyFont="1" applyFill="1" applyAlignment="1">
      <alignment horizontal="center" vertical="top"/>
    </xf>
    <xf numFmtId="0" fontId="6" fillId="6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14" fontId="4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7" borderId="0" xfId="0" applyFill="1"/>
    <xf numFmtId="0" fontId="13" fillId="0" borderId="0" xfId="0" applyFont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4" fillId="9" borderId="0" xfId="0" applyFont="1" applyFill="1" applyAlignment="1">
      <alignment horizontal="left" vertical="center"/>
    </xf>
    <xf numFmtId="0" fontId="15" fillId="9" borderId="0" xfId="0" applyFont="1" applyFill="1" applyAlignment="1">
      <alignment horizontal="left" vertical="center" wrapText="1"/>
    </xf>
    <xf numFmtId="0" fontId="14" fillId="10" borderId="0" xfId="0" applyFont="1" applyFill="1" applyAlignment="1">
      <alignment horizontal="left" vertical="center"/>
    </xf>
    <xf numFmtId="0" fontId="15" fillId="10" borderId="0" xfId="0" applyFont="1" applyFill="1" applyAlignment="1">
      <alignment horizontal="left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left" vertical="center" wrapText="1"/>
    </xf>
    <xf numFmtId="0" fontId="24" fillId="9" borderId="1" xfId="0" applyFont="1" applyFill="1" applyBorder="1" applyAlignment="1">
      <alignment horizontal="left" vertical="center" wrapText="1"/>
    </xf>
    <xf numFmtId="0" fontId="23" fillId="10" borderId="1" xfId="0" applyFont="1" applyFill="1" applyBorder="1"/>
    <xf numFmtId="0" fontId="7" fillId="10" borderId="1" xfId="0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center" vertical="center"/>
    </xf>
    <xf numFmtId="0" fontId="26" fillId="10" borderId="1" xfId="0" applyFont="1" applyFill="1" applyBorder="1" applyAlignment="1">
      <alignment horizontal="center" vertical="center"/>
    </xf>
    <xf numFmtId="0" fontId="27" fillId="10" borderId="1" xfId="0" applyFont="1" applyFill="1" applyBorder="1" applyAlignment="1">
      <alignment horizontal="center" vertical="center"/>
    </xf>
    <xf numFmtId="0" fontId="28" fillId="10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6" fillId="9" borderId="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28" fillId="9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9" fillId="10" borderId="1" xfId="0" applyFont="1" applyFill="1" applyBorder="1" applyAlignment="1">
      <alignment horizontal="left" vertical="center"/>
    </xf>
    <xf numFmtId="164" fontId="30" fillId="10" borderId="1" xfId="0" applyNumberFormat="1" applyFont="1" applyFill="1" applyBorder="1" applyAlignment="1">
      <alignment horizontal="right" vertical="center"/>
    </xf>
    <xf numFmtId="0" fontId="29" fillId="9" borderId="1" xfId="0" applyFont="1" applyFill="1" applyBorder="1" applyAlignment="1">
      <alignment horizontal="left" vertical="center"/>
    </xf>
    <xf numFmtId="164" fontId="30" fillId="9" borderId="1" xfId="0" applyNumberFormat="1" applyFont="1" applyFill="1" applyBorder="1" applyAlignment="1">
      <alignment horizontal="right" vertical="center"/>
    </xf>
    <xf numFmtId="0" fontId="22" fillId="3" borderId="1" xfId="0" applyFont="1" applyFill="1" applyBorder="1"/>
    <xf numFmtId="0" fontId="24" fillId="10" borderId="1" xfId="0" applyFont="1" applyFill="1" applyBorder="1" applyAlignment="1">
      <alignment horizontal="left" vertical="center"/>
    </xf>
    <xf numFmtId="9" fontId="27" fillId="2" borderId="1" xfId="0" applyNumberFormat="1" applyFont="1" applyFill="1" applyBorder="1" applyAlignment="1">
      <alignment horizontal="center" vertical="center"/>
    </xf>
    <xf numFmtId="9" fontId="32" fillId="10" borderId="1" xfId="0" applyNumberFormat="1" applyFont="1" applyFill="1" applyBorder="1" applyAlignment="1">
      <alignment horizontal="center" vertical="center"/>
    </xf>
    <xf numFmtId="0" fontId="29" fillId="10" borderId="1" xfId="0" applyFont="1" applyFill="1" applyBorder="1"/>
    <xf numFmtId="2" fontId="33" fillId="10" borderId="1" xfId="0" applyNumberFormat="1" applyFont="1" applyFill="1" applyBorder="1" applyAlignment="1">
      <alignment horizontal="right" vertical="center"/>
    </xf>
    <xf numFmtId="0" fontId="34" fillId="14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left" vertical="center"/>
    </xf>
    <xf numFmtId="9" fontId="32" fillId="9" borderId="1" xfId="0" applyNumberFormat="1" applyFont="1" applyFill="1" applyBorder="1" applyAlignment="1">
      <alignment horizontal="center" vertical="center"/>
    </xf>
    <xf numFmtId="0" fontId="29" fillId="9" borderId="1" xfId="0" applyFont="1" applyFill="1" applyBorder="1"/>
    <xf numFmtId="2" fontId="33" fillId="9" borderId="1" xfId="0" applyNumberFormat="1" applyFont="1" applyFill="1" applyBorder="1" applyAlignment="1">
      <alignment horizontal="right" vertical="center"/>
    </xf>
    <xf numFmtId="0" fontId="35" fillId="3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0" fontId="35" fillId="13" borderId="1" xfId="0" applyFont="1" applyFill="1" applyBorder="1" applyAlignment="1">
      <alignment horizontal="center" vertical="center"/>
    </xf>
    <xf numFmtId="165" fontId="37" fillId="10" borderId="1" xfId="0" applyNumberFormat="1" applyFont="1" applyFill="1" applyBorder="1" applyAlignment="1">
      <alignment horizontal="right" vertical="center"/>
    </xf>
    <xf numFmtId="0" fontId="35" fillId="5" borderId="1" xfId="0" applyFont="1" applyFill="1" applyBorder="1" applyAlignment="1">
      <alignment horizontal="center" vertical="center"/>
    </xf>
    <xf numFmtId="165" fontId="37" fillId="9" borderId="1" xfId="0" applyNumberFormat="1" applyFont="1" applyFill="1" applyBorder="1" applyAlignment="1">
      <alignment horizontal="right" vertical="center"/>
    </xf>
    <xf numFmtId="0" fontId="35" fillId="12" borderId="1" xfId="0" applyFont="1" applyFill="1" applyBorder="1" applyAlignment="1">
      <alignment horizontal="center" vertical="center"/>
    </xf>
    <xf numFmtId="166" fontId="38" fillId="10" borderId="1" xfId="0" applyNumberFormat="1" applyFont="1" applyFill="1" applyBorder="1" applyAlignment="1">
      <alignment horizontal="right" vertical="center"/>
    </xf>
    <xf numFmtId="0" fontId="35" fillId="15" borderId="1" xfId="0" applyFont="1" applyFill="1" applyBorder="1" applyAlignment="1">
      <alignment horizontal="center" vertical="center"/>
    </xf>
    <xf numFmtId="49" fontId="37" fillId="9" borderId="1" xfId="0" applyNumberFormat="1" applyFont="1" applyFill="1" applyBorder="1" applyAlignment="1">
      <alignment horizontal="left" vertical="center"/>
    </xf>
    <xf numFmtId="14" fontId="21" fillId="10" borderId="1" xfId="0" applyNumberFormat="1" applyFont="1" applyFill="1" applyBorder="1"/>
    <xf numFmtId="0" fontId="22" fillId="3" borderId="1" xfId="0" applyFont="1" applyFill="1" applyBorder="1" applyAlignment="1">
      <alignment horizontal="center" vertical="center" wrapText="1"/>
    </xf>
    <xf numFmtId="0" fontId="38" fillId="10" borderId="1" xfId="0" applyFont="1" applyFill="1" applyBorder="1"/>
    <xf numFmtId="3" fontId="40" fillId="10" borderId="1" xfId="0" applyNumberFormat="1" applyFont="1" applyFill="1" applyBorder="1" applyAlignment="1">
      <alignment horizontal="right" vertical="center"/>
    </xf>
    <xf numFmtId="3" fontId="41" fillId="10" borderId="1" xfId="0" applyNumberFormat="1" applyFont="1" applyFill="1" applyBorder="1" applyAlignment="1">
      <alignment horizontal="right" vertical="center"/>
    </xf>
    <xf numFmtId="0" fontId="38" fillId="9" borderId="1" xfId="0" applyFont="1" applyFill="1" applyBorder="1"/>
    <xf numFmtId="3" fontId="40" fillId="9" borderId="1" xfId="0" applyNumberFormat="1" applyFont="1" applyFill="1" applyBorder="1" applyAlignment="1">
      <alignment horizontal="right" vertical="center"/>
    </xf>
    <xf numFmtId="3" fontId="41" fillId="9" borderId="1" xfId="0" applyNumberFormat="1" applyFont="1" applyFill="1" applyBorder="1" applyAlignment="1">
      <alignment horizontal="right" vertical="center"/>
    </xf>
    <xf numFmtId="0" fontId="32" fillId="10" borderId="1" xfId="0" applyFont="1" applyFill="1" applyBorder="1" applyAlignment="1">
      <alignment horizontal="center" vertical="center"/>
    </xf>
    <xf numFmtId="167" fontId="24" fillId="10" borderId="1" xfId="0" applyNumberFormat="1" applyFont="1" applyFill="1" applyBorder="1" applyAlignment="1">
      <alignment horizontal="right" vertical="center"/>
    </xf>
    <xf numFmtId="167" fontId="29" fillId="10" borderId="1" xfId="0" applyNumberFormat="1" applyFont="1" applyFill="1" applyBorder="1" applyAlignment="1">
      <alignment horizontal="right" vertical="center"/>
    </xf>
    <xf numFmtId="0" fontId="38" fillId="10" borderId="1" xfId="0" applyFont="1" applyFill="1" applyBorder="1" applyAlignment="1">
      <alignment horizontal="center" vertical="center"/>
    </xf>
    <xf numFmtId="9" fontId="29" fillId="10" borderId="1" xfId="0" applyNumberFormat="1" applyFont="1" applyFill="1" applyBorder="1" applyAlignment="1">
      <alignment horizontal="right" vertical="center"/>
    </xf>
    <xf numFmtId="0" fontId="24" fillId="10" borderId="1" xfId="0" applyFont="1" applyFill="1" applyBorder="1"/>
    <xf numFmtId="0" fontId="32" fillId="9" borderId="1" xfId="0" applyFont="1" applyFill="1" applyBorder="1" applyAlignment="1">
      <alignment horizontal="center" vertical="center"/>
    </xf>
    <xf numFmtId="167" fontId="24" fillId="9" borderId="1" xfId="0" applyNumberFormat="1" applyFont="1" applyFill="1" applyBorder="1" applyAlignment="1">
      <alignment horizontal="right" vertical="center"/>
    </xf>
    <xf numFmtId="167" fontId="29" fillId="9" borderId="1" xfId="0" applyNumberFormat="1" applyFont="1" applyFill="1" applyBorder="1" applyAlignment="1">
      <alignment horizontal="right" vertical="center"/>
    </xf>
    <xf numFmtId="0" fontId="38" fillId="9" borderId="1" xfId="0" applyFont="1" applyFill="1" applyBorder="1" applyAlignment="1">
      <alignment horizontal="center" vertical="center"/>
    </xf>
    <xf numFmtId="9" fontId="29" fillId="9" borderId="1" xfId="0" applyNumberFormat="1" applyFont="1" applyFill="1" applyBorder="1" applyAlignment="1">
      <alignment horizontal="right" vertical="center"/>
    </xf>
    <xf numFmtId="0" fontId="24" fillId="9" borderId="1" xfId="0" applyFont="1" applyFill="1" applyBorder="1"/>
    <xf numFmtId="167" fontId="5" fillId="2" borderId="1" xfId="0" applyNumberFormat="1" applyFont="1" applyFill="1" applyBorder="1" applyAlignment="1">
      <alignment horizontal="right" vertical="center"/>
    </xf>
    <xf numFmtId="9" fontId="5" fillId="2" borderId="0" xfId="0" applyNumberFormat="1" applyFont="1" applyFill="1" applyAlignment="1">
      <alignment horizontal="right" vertical="center"/>
    </xf>
    <xf numFmtId="0" fontId="13" fillId="2" borderId="0" xfId="0" applyFont="1" applyFill="1" applyAlignment="1">
      <alignment horizontal="left" vertical="center"/>
    </xf>
    <xf numFmtId="0" fontId="0" fillId="2" borderId="0" xfId="0" applyFill="1"/>
    <xf numFmtId="3" fontId="43" fillId="2" borderId="1" xfId="0" applyNumberFormat="1" applyFont="1" applyFill="1" applyBorder="1" applyAlignment="1">
      <alignment horizontal="center" vertical="center"/>
    </xf>
    <xf numFmtId="168" fontId="44" fillId="2" borderId="1" xfId="0" applyNumberFormat="1" applyFont="1" applyFill="1" applyBorder="1" applyAlignment="1">
      <alignment horizontal="center" vertical="center"/>
    </xf>
    <xf numFmtId="167" fontId="43" fillId="2" borderId="1" xfId="0" applyNumberFormat="1" applyFont="1" applyFill="1" applyBorder="1" applyAlignment="1">
      <alignment horizontal="center" vertical="center"/>
    </xf>
    <xf numFmtId="2" fontId="43" fillId="2" borderId="1" xfId="0" applyNumberFormat="1" applyFont="1" applyFill="1" applyBorder="1" applyAlignment="1">
      <alignment horizontal="center" vertical="center"/>
    </xf>
    <xf numFmtId="0" fontId="45" fillId="2" borderId="1" xfId="0" applyFont="1" applyFill="1" applyBorder="1" applyAlignment="1">
      <alignment horizontal="center" vertical="center"/>
    </xf>
    <xf numFmtId="0" fontId="38" fillId="0" borderId="0" xfId="0" applyFont="1"/>
    <xf numFmtId="0" fontId="22" fillId="2" borderId="1" xfId="0" applyFont="1" applyFill="1" applyBorder="1"/>
    <xf numFmtId="2" fontId="29" fillId="10" borderId="1" xfId="0" applyNumberFormat="1" applyFont="1" applyFill="1" applyBorder="1"/>
    <xf numFmtId="2" fontId="29" fillId="9" borderId="1" xfId="0" applyNumberFormat="1" applyFont="1" applyFill="1" applyBorder="1"/>
    <xf numFmtId="0" fontId="22" fillId="3" borderId="1" xfId="0" applyFont="1" applyFill="1" applyBorder="1" applyAlignment="1">
      <alignment horizontal="right" vertical="center"/>
    </xf>
    <xf numFmtId="2" fontId="46" fillId="2" borderId="1" xfId="0" applyNumberFormat="1" applyFont="1" applyFill="1" applyBorder="1" applyAlignment="1">
      <alignment horizontal="center" vertical="center"/>
    </xf>
    <xf numFmtId="3" fontId="47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5" fillId="2" borderId="0" xfId="0" applyFont="1" applyFill="1"/>
    <xf numFmtId="0" fontId="7" fillId="8" borderId="2" xfId="0" applyFont="1" applyFill="1" applyBorder="1" applyAlignment="1">
      <alignment horizontal="right" vertical="center"/>
    </xf>
    <xf numFmtId="2" fontId="16" fillId="8" borderId="0" xfId="0" applyNumberFormat="1" applyFont="1" applyFill="1" applyAlignment="1">
      <alignment horizontal="left" vertical="center"/>
    </xf>
    <xf numFmtId="2" fontId="17" fillId="8" borderId="0" xfId="0" applyNumberFormat="1" applyFont="1" applyFill="1" applyAlignment="1">
      <alignment horizontal="left" vertical="center"/>
    </xf>
    <xf numFmtId="3" fontId="18" fillId="8" borderId="0" xfId="0" applyNumberFormat="1" applyFont="1" applyFill="1" applyAlignment="1">
      <alignment horizontal="left" vertical="center"/>
    </xf>
    <xf numFmtId="49" fontId="19" fillId="8" borderId="0" xfId="0" applyNumberFormat="1" applyFont="1" applyFill="1" applyAlignment="1">
      <alignment horizontal="left" vertical="center"/>
    </xf>
    <xf numFmtId="0" fontId="20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right" vertical="center"/>
    </xf>
    <xf numFmtId="0" fontId="21" fillId="10" borderId="4" xfId="0" applyFont="1" applyFill="1" applyBorder="1" applyAlignment="1">
      <alignment horizontal="left" vertical="center"/>
    </xf>
    <xf numFmtId="0" fontId="15" fillId="11" borderId="4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21" fillId="10" borderId="4" xfId="0" applyFont="1" applyFill="1" applyBorder="1" applyAlignment="1">
      <alignment horizontal="left" vertical="top" wrapText="1"/>
    </xf>
    <xf numFmtId="0" fontId="22" fillId="3" borderId="0" xfId="0" applyFont="1" applyFill="1"/>
    <xf numFmtId="0" fontId="23" fillId="10" borderId="4" xfId="0" applyFont="1" applyFill="1" applyBorder="1"/>
    <xf numFmtId="0" fontId="22" fillId="12" borderId="5" xfId="0" applyFont="1" applyFill="1" applyBorder="1" applyAlignment="1">
      <alignment horizontal="center" vertical="center" wrapText="1"/>
    </xf>
    <xf numFmtId="0" fontId="22" fillId="5" borderId="5" xfId="0" applyFont="1" applyFill="1" applyBorder="1" applyAlignment="1">
      <alignment horizontal="center" vertical="center" wrapText="1"/>
    </xf>
    <xf numFmtId="0" fontId="22" fillId="13" borderId="5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5" fillId="3" borderId="0" xfId="0" applyFont="1" applyFill="1"/>
    <xf numFmtId="0" fontId="25" fillId="10" borderId="4" xfId="0" applyFont="1" applyFill="1" applyBorder="1"/>
    <xf numFmtId="0" fontId="20" fillId="2" borderId="3" xfId="0" applyFont="1" applyFill="1" applyBorder="1" applyAlignment="1">
      <alignment horizontal="left" vertical="center"/>
    </xf>
    <xf numFmtId="0" fontId="29" fillId="9" borderId="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9" fillId="10" borderId="4" xfId="0" applyFont="1" applyFill="1" applyBorder="1" applyAlignment="1">
      <alignment horizontal="left" vertical="center"/>
    </xf>
    <xf numFmtId="0" fontId="22" fillId="2" borderId="0" xfId="0" applyFont="1" applyFill="1"/>
    <xf numFmtId="0" fontId="22" fillId="1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0" fontId="22" fillId="3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/>
    </xf>
    <xf numFmtId="0" fontId="24" fillId="10" borderId="5" xfId="0" applyFont="1" applyFill="1" applyBorder="1" applyAlignment="1">
      <alignment horizontal="left" vertical="center" wrapText="1"/>
    </xf>
    <xf numFmtId="0" fontId="36" fillId="10" borderId="5" xfId="0" applyFont="1" applyFill="1" applyBorder="1" applyAlignment="1">
      <alignment horizontal="center" vertical="center"/>
    </xf>
    <xf numFmtId="0" fontId="22" fillId="13" borderId="5" xfId="0" applyFont="1" applyFill="1" applyBorder="1" applyAlignment="1">
      <alignment horizontal="center" vertical="center"/>
    </xf>
    <xf numFmtId="0" fontId="39" fillId="10" borderId="4" xfId="0" applyFont="1" applyFill="1" applyBorder="1"/>
    <xf numFmtId="0" fontId="22" fillId="3" borderId="5" xfId="0" applyFont="1" applyFill="1" applyBorder="1" applyAlignment="1">
      <alignment horizontal="center" vertical="center" wrapText="1"/>
    </xf>
    <xf numFmtId="0" fontId="22" fillId="12" borderId="1" xfId="0" applyFont="1" applyFill="1" applyBorder="1" applyAlignment="1">
      <alignment horizontal="center" vertical="center"/>
    </xf>
    <xf numFmtId="0" fontId="42" fillId="2" borderId="0" xfId="0" applyFont="1" applyFill="1" applyAlignment="1">
      <alignment horizontal="center" vertical="center"/>
    </xf>
    <xf numFmtId="0" fontId="7" fillId="2" borderId="0" xfId="0" applyFont="1" applyFill="1"/>
    <xf numFmtId="0" fontId="2" fillId="2" borderId="0" xfId="0" applyFont="1" applyFill="1"/>
    <xf numFmtId="0" fontId="32" fillId="2" borderId="0" xfId="0" applyFont="1" applyFill="1"/>
    <xf numFmtId="0" fontId="3" fillId="2" borderId="0" xfId="0" applyFont="1" applyFill="1"/>
    <xf numFmtId="14" fontId="4" fillId="2" borderId="0" xfId="0" applyNumberFormat="1" applyFont="1" applyFill="1" applyAlignment="1">
      <alignment horizontal="right" vertical="center"/>
    </xf>
    <xf numFmtId="0" fontId="22" fillId="3" borderId="4" xfId="0" applyFont="1" applyFill="1" applyBorder="1" applyAlignment="1">
      <alignment horizontal="left" vertical="center"/>
    </xf>
    <xf numFmtId="0" fontId="22" fillId="13" borderId="4" xfId="0" applyFont="1" applyFill="1" applyBorder="1" applyAlignment="1">
      <alignment horizontal="left" vertical="center"/>
    </xf>
    <xf numFmtId="0" fontId="22" fillId="3" borderId="4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9" fillId="2" borderId="0" xfId="0" applyFont="1" applyFill="1"/>
    <xf numFmtId="0" fontId="5" fillId="2" borderId="4" xfId="0" applyFont="1" applyFill="1" applyBorder="1" applyAlignment="1">
      <alignment horizontal="left" vertical="center"/>
    </xf>
    <xf numFmtId="0" fontId="24" fillId="9" borderId="4" xfId="0" applyFont="1" applyFill="1" applyBorder="1" applyAlignment="1">
      <alignment horizontal="left" vertical="top" wrapText="1"/>
    </xf>
    <xf numFmtId="0" fontId="24" fillId="10" borderId="4" xfId="0" applyFont="1" applyFill="1" applyBorder="1" applyAlignment="1">
      <alignment horizontal="left" vertical="top" wrapText="1"/>
    </xf>
    <xf numFmtId="0" fontId="48" fillId="2" borderId="1" xfId="0" applyFont="1" applyFill="1" applyBorder="1" applyAlignment="1">
      <alignment horizontal="center" vertical="center"/>
    </xf>
    <xf numFmtId="0" fontId="49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27">
    <dxf>
      <font>
        <b/>
        <sz val="12"/>
        <color rgb="FFFFFFFF"/>
      </font>
      <fill>
        <patternFill>
          <bgColor rgb="FFC0392B"/>
        </patternFill>
      </fill>
    </dxf>
    <dxf>
      <font>
        <b/>
        <sz val="12"/>
        <color rgb="FF000000"/>
      </font>
      <fill>
        <patternFill>
          <bgColor rgb="FFE9A825"/>
        </patternFill>
      </fill>
    </dxf>
    <dxf>
      <font>
        <b/>
        <sz val="12"/>
        <color rgb="FFFFFFFF"/>
      </font>
      <fill>
        <patternFill>
          <bgColor rgb="FF27AE60"/>
        </patternFill>
      </fill>
    </dxf>
    <dxf>
      <font>
        <b/>
        <sz val="12"/>
        <color rgb="FFFFFFFF"/>
      </font>
      <fill>
        <patternFill>
          <bgColor rgb="FFC0392B"/>
        </patternFill>
      </fill>
    </dxf>
    <dxf>
      <font>
        <b/>
        <sz val="12"/>
        <color rgb="FF000000"/>
      </font>
      <fill>
        <patternFill>
          <bgColor rgb="FFE9A825"/>
        </patternFill>
      </fill>
    </dxf>
    <dxf>
      <font>
        <b/>
        <sz val="12"/>
        <color rgb="FFFFFFFF"/>
      </font>
      <fill>
        <patternFill>
          <bgColor rgb="FF27AE60"/>
        </patternFill>
      </fill>
    </dxf>
    <dxf>
      <font>
        <b/>
        <sz val="9"/>
        <color rgb="FFFFFFFF"/>
      </font>
      <fill>
        <patternFill>
          <bgColor rgb="FF27AE60"/>
        </patternFill>
      </fill>
    </dxf>
    <dxf>
      <font>
        <b/>
        <sz val="9"/>
        <color rgb="FFFFFFFF"/>
      </font>
      <fill>
        <patternFill>
          <bgColor rgb="FFC0392B"/>
        </patternFill>
      </fill>
    </dxf>
    <dxf>
      <font>
        <b/>
        <sz val="9"/>
        <color rgb="FF000000"/>
      </font>
      <fill>
        <patternFill>
          <bgColor rgb="FFE9A825"/>
        </patternFill>
      </fill>
    </dxf>
    <dxf>
      <fill>
        <patternFill>
          <bgColor rgb="FFD5F5E3"/>
        </patternFill>
      </fill>
    </dxf>
    <dxf>
      <fill>
        <patternFill>
          <bgColor rgb="FFFADBD8"/>
        </patternFill>
      </fill>
    </dxf>
    <dxf>
      <fill>
        <patternFill>
          <bgColor rgb="FFD5F5E3"/>
        </patternFill>
      </fill>
    </dxf>
    <dxf>
      <fill>
        <patternFill>
          <bgColor rgb="FFFADBD8"/>
        </patternFill>
      </fill>
    </dxf>
    <dxf>
      <fill>
        <patternFill>
          <bgColor rgb="FFD5F5E3"/>
        </patternFill>
      </fill>
    </dxf>
    <dxf>
      <fill>
        <patternFill>
          <bgColor rgb="FFFADBD8"/>
        </patternFill>
      </fill>
    </dxf>
    <dxf>
      <font>
        <b/>
        <sz val="10"/>
        <color rgb="FFC0392B"/>
      </font>
      <fill>
        <patternFill>
          <bgColor rgb="FFFADBD8"/>
        </patternFill>
      </fill>
    </dxf>
    <dxf>
      <font>
        <b/>
        <sz val="10"/>
        <color rgb="FF1E8449"/>
      </font>
      <fill>
        <patternFill>
          <bgColor rgb="FFD5F5E3"/>
        </patternFill>
      </fill>
    </dxf>
    <dxf>
      <font>
        <b/>
        <sz val="10"/>
        <color rgb="FFFFFFFF"/>
      </font>
      <fill>
        <patternFill>
          <bgColor rgb="FF27AE60"/>
        </patternFill>
      </fill>
    </dxf>
    <dxf>
      <font>
        <b/>
        <sz val="10"/>
        <color rgb="FF000000"/>
      </font>
      <fill>
        <patternFill>
          <bgColor rgb="FFF1C40F"/>
        </patternFill>
      </fill>
    </dxf>
    <dxf>
      <font>
        <b/>
        <sz val="10"/>
        <color rgb="FFFFFFFF"/>
      </font>
      <fill>
        <patternFill>
          <bgColor rgb="FFE67E22"/>
        </patternFill>
      </fill>
    </dxf>
    <dxf>
      <font>
        <b/>
        <sz val="10"/>
        <color rgb="FFFFFFFF"/>
      </font>
      <fill>
        <patternFill>
          <bgColor rgb="FFC0392B"/>
        </patternFill>
      </fill>
    </dxf>
    <dxf>
      <font>
        <b/>
        <sz val="13"/>
        <color rgb="FFC0392B"/>
        <name val="Calibri Light"/>
        <charset val="1"/>
      </font>
      <fill>
        <patternFill>
          <bgColor rgb="FF1A0F00"/>
        </patternFill>
      </fill>
    </dxf>
    <dxf>
      <font>
        <b/>
        <sz val="13"/>
        <color rgb="FFC0392B"/>
        <name val="Calibri Light"/>
        <charset val="1"/>
      </font>
      <fill>
        <patternFill>
          <bgColor rgb="FF1A0000"/>
        </patternFill>
      </fill>
    </dxf>
    <dxf>
      <font>
        <b/>
        <sz val="20"/>
        <color rgb="FFE9A825"/>
        <name val="Calibri Light"/>
        <charset val="1"/>
      </font>
      <fill>
        <patternFill>
          <bgColor rgb="FF001A2E"/>
        </patternFill>
      </fill>
    </dxf>
    <dxf>
      <font>
        <b/>
        <sz val="20"/>
        <color rgb="FFC0392B"/>
        <name val="Calibri Light"/>
        <charset val="1"/>
      </font>
      <fill>
        <patternFill>
          <bgColor rgb="FF3D2200"/>
        </patternFill>
      </fill>
    </dxf>
    <dxf>
      <font>
        <b/>
        <sz val="20"/>
        <color rgb="FF00B4D8"/>
        <name val="Calibri Light"/>
        <charset val="1"/>
      </font>
      <fill>
        <patternFill>
          <bgColor rgb="FF001A2E"/>
        </patternFill>
      </fill>
    </dxf>
    <dxf>
      <font>
        <b/>
        <sz val="20"/>
        <color rgb="FFC0392B"/>
        <name val="Calibri Light"/>
        <charset val="1"/>
      </font>
      <fill>
        <patternFill>
          <bgColor rgb="FF3D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82040"/>
      <rgbColor rgb="FF00FF00"/>
      <rgbColor rgb="FF0000FF"/>
      <rgbColor rgb="FFFFFF00"/>
      <rgbColor rgb="FFFF00FF"/>
      <rgbColor rgb="FF00FFFF"/>
      <rgbColor rgb="FF8B0000"/>
      <rgbColor rgb="FF008000"/>
      <rgbColor rgb="FF001A2E"/>
      <rgbColor rgb="FF4E7920"/>
      <rgbColor rgb="FF1A1A2E"/>
      <rgbColor rgb="FF1E8449"/>
      <rgbColor rgb="FFCCCCCC"/>
      <rgbColor rgb="FF4E7940"/>
      <rgbColor rgb="FF9999FF"/>
      <rgbColor rgb="FF1A0F00"/>
      <rgbColor rgb="FFFEF9E7"/>
      <rgbColor rgb="FFEBF5FB"/>
      <rgbColor rgb="FF3D2200"/>
      <rgbColor rgb="FFFF8080"/>
      <rgbColor rgb="FF1A5276"/>
      <rgbColor rgb="FFD9D9D9"/>
      <rgbColor rgb="FF0F0F1E"/>
      <rgbColor rgb="FFFF00FF"/>
      <rgbColor rgb="FFFFFF00"/>
      <rgbColor rgb="FF00FFFF"/>
      <rgbColor rgb="FF1A0000"/>
      <rgbColor rgb="FF3D0000"/>
      <rgbColor rgb="FF1F4E79"/>
      <rgbColor rgb="FF0000FF"/>
      <rgbColor rgb="FF00B4D8"/>
      <rgbColor rgb="FFF4F6F8"/>
      <rgbColor rgb="FFD5F5E3"/>
      <rgbColor rgb="FFFFFF99"/>
      <rgbColor rgb="FFB3B3B3"/>
      <rgbColor rgb="FFFF99CC"/>
      <rgbColor rgb="FFCC99FF"/>
      <rgbColor rgb="FFFADBD8"/>
      <rgbColor rgb="FF3366FF"/>
      <rgbColor rgb="FF1ABC9C"/>
      <rgbColor rgb="FFB4D840"/>
      <rgbColor rgb="FFF1C40F"/>
      <rgbColor rgb="FFE9A825"/>
      <rgbColor rgb="FFE67E22"/>
      <rgbColor rgb="FF666699"/>
      <rgbColor rgb="FF8899A6"/>
      <rgbColor rgb="FF0F3460"/>
      <rgbColor rgb="FF27AE60"/>
      <rgbColor rgb="FF0D1B2A"/>
      <rgbColor rgb="FF392B20"/>
      <rgbColor rgb="FFC0392B"/>
      <rgbColor rgb="FF993366"/>
      <rgbColor rgb="FF17406A"/>
      <rgbColor rgb="FF392B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Criticité des Risques par Catégorie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v>Score Moyen Pondéré</c:v>
          </c:tx>
          <c:spPr>
            <a:solidFill>
              <a:srgbClr val="392B30"/>
            </a:solidFill>
            <a:ln w="20160">
              <a:solidFill>
                <a:srgbClr val="C0392B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'5. Risks Analysis'!$M$28:$M$34</c:f>
              <c:strCache>
                <c:ptCount val="7"/>
                <c:pt idx="0">
                  <c:v>Financier</c:v>
                </c:pt>
                <c:pt idx="1">
                  <c:v>Technique</c:v>
                </c:pt>
                <c:pt idx="2">
                  <c:v>Organisationnel</c:v>
                </c:pt>
                <c:pt idx="3">
                  <c:v>Environnemental</c:v>
                </c:pt>
                <c:pt idx="4">
                  <c:v>Politique</c:v>
                </c:pt>
                <c:pt idx="5">
                  <c:v>Social</c:v>
                </c:pt>
                <c:pt idx="6">
                  <c:v>Autre</c:v>
                </c:pt>
              </c:strCache>
            </c:strRef>
          </c:cat>
          <c:val>
            <c:numRef>
              <c:f>'5. Risks Analysis'!$N$27:$N$34</c:f>
              <c:numCache>
                <c:formatCode>0.0</c:formatCode>
                <c:ptCount val="8"/>
                <c:pt idx="0" formatCode="General">
                  <c:v>0</c:v>
                </c:pt>
                <c:pt idx="1">
                  <c:v>16</c:v>
                </c:pt>
                <c:pt idx="2">
                  <c:v>10.5</c:v>
                </c:pt>
                <c:pt idx="3">
                  <c:v>10.5</c:v>
                </c:pt>
                <c:pt idx="4">
                  <c:v>8</c:v>
                </c:pt>
                <c:pt idx="5">
                  <c:v>6</c:v>
                </c:pt>
                <c:pt idx="6">
                  <c:v>4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75-40FF-ABC3-100F8AFD1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12453"/>
        <c:axId val="77398985"/>
      </c:radarChart>
      <c:catAx>
        <c:axId val="6411245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7398985"/>
        <c:crosses val="autoZero"/>
        <c:auto val="1"/>
        <c:lblAlgn val="ctr"/>
        <c:lblOffset val="100"/>
        <c:noMultiLvlLbl val="0"/>
      </c:catAx>
      <c:valAx>
        <c:axId val="7739898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411245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Conformité SMARTIES — Maturité des Indicateurs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v>Score Moyen /5</c:v>
          </c:tx>
          <c:spPr>
            <a:solidFill>
              <a:srgbClr val="B4D840"/>
            </a:solidFill>
            <a:ln w="21960">
              <a:solidFill>
                <a:srgbClr val="00B4D8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'6. Indicators selection'!$O$7:$O$14</c:f>
              <c:strCache>
                <c:ptCount val="8"/>
                <c:pt idx="0">
                  <c:v>S — Spécifique</c:v>
                </c:pt>
                <c:pt idx="1">
                  <c:v>M — Mesurable</c:v>
                </c:pt>
                <c:pt idx="2">
                  <c:v>A — Atteignable</c:v>
                </c:pt>
                <c:pt idx="3">
                  <c:v>R — Réaliste</c:v>
                </c:pt>
                <c:pt idx="4">
                  <c:v>T — Temporel</c:v>
                </c:pt>
                <c:pt idx="5">
                  <c:v>I — Indépendant</c:v>
                </c:pt>
                <c:pt idx="6">
                  <c:v>E — Éthique</c:v>
                </c:pt>
                <c:pt idx="7">
                  <c:v>S — Sensible genre</c:v>
                </c:pt>
              </c:strCache>
            </c:strRef>
          </c:cat>
          <c:val>
            <c:numRef>
              <c:f>'6. Indicators selection'!$P$6:$P$14</c:f>
              <c:numCache>
                <c:formatCode>0.00</c:formatCode>
                <c:ptCount val="9"/>
                <c:pt idx="0" formatCode="General">
                  <c:v>0</c:v>
                </c:pt>
                <c:pt idx="1">
                  <c:v>3.5</c:v>
                </c:pt>
                <c:pt idx="2">
                  <c:v>4.5</c:v>
                </c:pt>
                <c:pt idx="3">
                  <c:v>3.5</c:v>
                </c:pt>
                <c:pt idx="4">
                  <c:v>2.5</c:v>
                </c:pt>
                <c:pt idx="5">
                  <c:v>3.5</c:v>
                </c:pt>
                <c:pt idx="6">
                  <c:v>1.5</c:v>
                </c:pt>
                <c:pt idx="7">
                  <c:v>2.5</c:v>
                </c:pt>
                <c:pt idx="8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8E-4A65-AB70-A9F82571AB4A}"/>
            </c:ext>
          </c:extLst>
        </c:ser>
        <c:ser>
          <c:idx val="1"/>
          <c:order val="1"/>
          <c:tx>
            <c:v>Cible Idéale (5/5)</c:v>
          </c:tx>
          <c:spPr>
            <a:solidFill>
              <a:srgbClr val="4E7920"/>
            </a:solidFill>
            <a:ln w="15120">
              <a:solidFill>
                <a:srgbClr val="1F4E79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'6. Indicators selection'!$O$7:$O$14</c:f>
              <c:strCache>
                <c:ptCount val="8"/>
                <c:pt idx="0">
                  <c:v>S — Spécifique</c:v>
                </c:pt>
                <c:pt idx="1">
                  <c:v>M — Mesurable</c:v>
                </c:pt>
                <c:pt idx="2">
                  <c:v>A — Atteignable</c:v>
                </c:pt>
                <c:pt idx="3">
                  <c:v>R — Réaliste</c:v>
                </c:pt>
                <c:pt idx="4">
                  <c:v>T — Temporel</c:v>
                </c:pt>
                <c:pt idx="5">
                  <c:v>I — Indépendant</c:v>
                </c:pt>
                <c:pt idx="6">
                  <c:v>E — Éthique</c:v>
                </c:pt>
                <c:pt idx="7">
                  <c:v>S — Sensible genre</c:v>
                </c:pt>
              </c:strCache>
            </c:strRef>
          </c:cat>
          <c:val>
            <c:numRef>
              <c:f>'6. Indicators selection'!$Q$6:$Q$14</c:f>
              <c:numCache>
                <c:formatCode>General</c:formatCode>
                <c:ptCount val="9"/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8E-4A65-AB70-A9F82571A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846255"/>
        <c:axId val="37072056"/>
      </c:radarChart>
      <c:catAx>
        <c:axId val="9084625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7072056"/>
        <c:crosses val="autoZero"/>
        <c:auto val="1"/>
        <c:lblAlgn val="ctr"/>
        <c:lblOffset val="100"/>
        <c:noMultiLvlLbl val="0"/>
      </c:catAx>
      <c:valAx>
        <c:axId val="3707205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084625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Évolution Indicateurs — Cible vs Réel (5 ans / 20 trimestres)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Impact — Cible</c:v>
          </c:tx>
          <c:spPr>
            <a:ln w="2196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'9. Indicators Calendar'!$E$6:$X$6</c:f>
              <c:numCache>
                <c:formatCode>#\ ##0.0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55</c:v>
                </c:pt>
                <c:pt idx="5">
                  <c:v>65</c:v>
                </c:pt>
                <c:pt idx="6">
                  <c:v>75</c:v>
                </c:pt>
                <c:pt idx="7">
                  <c:v>85</c:v>
                </c:pt>
                <c:pt idx="8">
                  <c:v>90</c:v>
                </c:pt>
                <c:pt idx="9">
                  <c:v>92</c:v>
                </c:pt>
                <c:pt idx="10">
                  <c:v>94</c:v>
                </c:pt>
                <c:pt idx="11">
                  <c:v>96</c:v>
                </c:pt>
                <c:pt idx="12">
                  <c:v>97</c:v>
                </c:pt>
                <c:pt idx="13">
                  <c:v>98</c:v>
                </c:pt>
                <c:pt idx="14">
                  <c:v>99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08E-4BAD-89F0-EAC8B051B6E1}"/>
            </c:ext>
          </c:extLst>
        </c:ser>
        <c:ser>
          <c:idx val="1"/>
          <c:order val="1"/>
          <c:tx>
            <c:v>Impact — Réel</c:v>
          </c:tx>
          <c:spPr>
            <a:ln w="24840">
              <a:solidFill>
                <a:srgbClr val="00B4D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'9. Indicators Calendar'!$E$7:$X$7</c:f>
              <c:numCache>
                <c:formatCode>#\ ##0.0</c:formatCode>
                <c:ptCount val="20"/>
                <c:pt idx="0">
                  <c:v>8</c:v>
                </c:pt>
                <c:pt idx="1">
                  <c:v>17</c:v>
                </c:pt>
                <c:pt idx="2">
                  <c:v>26</c:v>
                </c:pt>
                <c:pt idx="3">
                  <c:v>35</c:v>
                </c:pt>
                <c:pt idx="4">
                  <c:v>45</c:v>
                </c:pt>
                <c:pt idx="5">
                  <c:v>52</c:v>
                </c:pt>
                <c:pt idx="6">
                  <c:v>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08E-4BAD-89F0-EAC8B051B6E1}"/>
            </c:ext>
          </c:extLst>
        </c:ser>
        <c:ser>
          <c:idx val="2"/>
          <c:order val="2"/>
          <c:tx>
            <c:v>Effet — Cible</c:v>
          </c:tx>
          <c:spPr>
            <a:ln w="21960">
              <a:solidFill>
                <a:srgbClr val="27AE6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'9. Indicators Calendar'!$E$11:$X$11</c:f>
              <c:numCache>
                <c:formatCode>#\ ##0.0</c:formatCode>
                <c:ptCount val="20"/>
                <c:pt idx="0">
                  <c:v>5</c:v>
                </c:pt>
                <c:pt idx="1">
                  <c:v>12</c:v>
                </c:pt>
                <c:pt idx="2">
                  <c:v>22</c:v>
                </c:pt>
                <c:pt idx="3">
                  <c:v>35</c:v>
                </c:pt>
                <c:pt idx="4">
                  <c:v>48</c:v>
                </c:pt>
                <c:pt idx="5">
                  <c:v>60</c:v>
                </c:pt>
                <c:pt idx="6">
                  <c:v>72</c:v>
                </c:pt>
                <c:pt idx="7">
                  <c:v>82</c:v>
                </c:pt>
                <c:pt idx="8">
                  <c:v>88</c:v>
                </c:pt>
                <c:pt idx="9">
                  <c:v>91</c:v>
                </c:pt>
                <c:pt idx="10">
                  <c:v>93</c:v>
                </c:pt>
                <c:pt idx="11">
                  <c:v>95</c:v>
                </c:pt>
                <c:pt idx="12">
                  <c:v>97</c:v>
                </c:pt>
                <c:pt idx="13">
                  <c:v>98</c:v>
                </c:pt>
                <c:pt idx="14">
                  <c:v>99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08E-4BAD-89F0-EAC8B051B6E1}"/>
            </c:ext>
          </c:extLst>
        </c:ser>
        <c:ser>
          <c:idx val="3"/>
          <c:order val="3"/>
          <c:tx>
            <c:v>Effet — Réel</c:v>
          </c:tx>
          <c:spPr>
            <a:ln w="24840">
              <a:solidFill>
                <a:srgbClr val="1ABC9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'9. Indicators Calendar'!$E$12:$X$12</c:f>
              <c:numCache>
                <c:formatCode>#\ ##0.0</c:formatCode>
                <c:ptCount val="20"/>
                <c:pt idx="0">
                  <c:v>4</c:v>
                </c:pt>
                <c:pt idx="1">
                  <c:v>10</c:v>
                </c:pt>
                <c:pt idx="2">
                  <c:v>18</c:v>
                </c:pt>
                <c:pt idx="3">
                  <c:v>28</c:v>
                </c:pt>
                <c:pt idx="4">
                  <c:v>40</c:v>
                </c:pt>
                <c:pt idx="5">
                  <c:v>50</c:v>
                </c:pt>
                <c:pt idx="6">
                  <c:v>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08E-4BAD-89F0-EAC8B051B6E1}"/>
            </c:ext>
          </c:extLst>
        </c:ser>
        <c:ser>
          <c:idx val="4"/>
          <c:order val="4"/>
          <c:tx>
            <c:v>Extrants — Cible</c:v>
          </c:tx>
          <c:spPr>
            <a:ln w="21960">
              <a:solidFill>
                <a:srgbClr val="E9A82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'9. Indicators Calendar'!$E$16:$X$16</c:f>
              <c:numCache>
                <c:formatCode>#\ ##0.0</c:formatCode>
                <c:ptCount val="20"/>
                <c:pt idx="0">
                  <c:v>15</c:v>
                </c:pt>
                <c:pt idx="1">
                  <c:v>28</c:v>
                </c:pt>
                <c:pt idx="2">
                  <c:v>40</c:v>
                </c:pt>
                <c:pt idx="3">
                  <c:v>52</c:v>
                </c:pt>
                <c:pt idx="4">
                  <c:v>63</c:v>
                </c:pt>
                <c:pt idx="5">
                  <c:v>72</c:v>
                </c:pt>
                <c:pt idx="6">
                  <c:v>80</c:v>
                </c:pt>
                <c:pt idx="7">
                  <c:v>86</c:v>
                </c:pt>
                <c:pt idx="8">
                  <c:v>90</c:v>
                </c:pt>
                <c:pt idx="9">
                  <c:v>93</c:v>
                </c:pt>
                <c:pt idx="10">
                  <c:v>95</c:v>
                </c:pt>
                <c:pt idx="11">
                  <c:v>97</c:v>
                </c:pt>
                <c:pt idx="12">
                  <c:v>98</c:v>
                </c:pt>
                <c:pt idx="13">
                  <c:v>99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D08E-4BAD-89F0-EAC8B051B6E1}"/>
            </c:ext>
          </c:extLst>
        </c:ser>
        <c:ser>
          <c:idx val="5"/>
          <c:order val="5"/>
          <c:tx>
            <c:v>Extrants — Réel</c:v>
          </c:tx>
          <c:spPr>
            <a:ln w="24840">
              <a:solidFill>
                <a:srgbClr val="E67E2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'9. Indicators Calendar'!$E$17:$X$17</c:f>
              <c:numCache>
                <c:formatCode>#\ ##0.0</c:formatCode>
                <c:ptCount val="20"/>
                <c:pt idx="0">
                  <c:v>12</c:v>
                </c:pt>
                <c:pt idx="1">
                  <c:v>22</c:v>
                </c:pt>
                <c:pt idx="2">
                  <c:v>33</c:v>
                </c:pt>
                <c:pt idx="3">
                  <c:v>44</c:v>
                </c:pt>
                <c:pt idx="4">
                  <c:v>56</c:v>
                </c:pt>
                <c:pt idx="5">
                  <c:v>64</c:v>
                </c:pt>
                <c:pt idx="6">
                  <c:v>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D08E-4BAD-89F0-EAC8B051B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5728001"/>
        <c:axId val="86497651"/>
      </c:lineChart>
      <c:catAx>
        <c:axId val="857280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Trimestre (Q1 An1 → Q4 An5)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86497651"/>
        <c:crosses val="autoZero"/>
        <c:auto val="1"/>
        <c:lblAlgn val="ctr"/>
        <c:lblOffset val="100"/>
        <c:noMultiLvlLbl val="0"/>
      </c:catAx>
      <c:valAx>
        <c:axId val="864976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Valeur Indicateur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\ ##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8572800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Courbe en S — Planifié vs Payé Cumulé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CBTP Planifié Cumulé</c:v>
          </c:tx>
          <c:spPr>
            <a:ln w="2016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'12. Disbursement Monitoring'!$L$4:$L$18</c:f>
              <c:strCache>
                <c:ptCount val="15"/>
                <c:pt idx="0">
                  <c:v>Comp. 1</c:v>
                </c:pt>
                <c:pt idx="1">
                  <c:v>Comp. 2</c:v>
                </c:pt>
                <c:pt idx="2">
                  <c:v>Comp. 3</c:v>
                </c:pt>
                <c:pt idx="3">
                  <c:v>Comp. 4</c:v>
                </c:pt>
                <c:pt idx="4">
                  <c:v>Comp. 5</c:v>
                </c:pt>
                <c:pt idx="5">
                  <c:v>Comp. 6</c:v>
                </c:pt>
                <c:pt idx="6">
                  <c:v>Comp. 7</c:v>
                </c:pt>
                <c:pt idx="7">
                  <c:v>Comp. 8</c:v>
                </c:pt>
                <c:pt idx="8">
                  <c:v>Comp. 9</c:v>
                </c:pt>
                <c:pt idx="9">
                  <c:v>Comp. 10</c:v>
                </c:pt>
                <c:pt idx="10">
                  <c:v>Comp. 11</c:v>
                </c:pt>
                <c:pt idx="11">
                  <c:v>Comp. 12</c:v>
                </c:pt>
                <c:pt idx="12">
                  <c:v>Comp. 13</c:v>
                </c:pt>
                <c:pt idx="13">
                  <c:v>Comp. 14</c:v>
                </c:pt>
                <c:pt idx="14">
                  <c:v>Comp. 15</c:v>
                </c:pt>
              </c:strCache>
            </c:strRef>
          </c:cat>
          <c:val>
            <c:numRef>
              <c:f>'12. Disbursement Monitoring'!$M$3:$M$18</c:f>
              <c:numCache>
                <c:formatCode>#,##0</c:formatCode>
                <c:ptCount val="16"/>
                <c:pt idx="0" formatCode="General">
                  <c:v>0</c:v>
                </c:pt>
                <c:pt idx="1">
                  <c:v>850000</c:v>
                </c:pt>
                <c:pt idx="2">
                  <c:v>1470000</c:v>
                </c:pt>
                <c:pt idx="3">
                  <c:v>1890000</c:v>
                </c:pt>
                <c:pt idx="4">
                  <c:v>2240000</c:v>
                </c:pt>
                <c:pt idx="5">
                  <c:v>2520000</c:v>
                </c:pt>
                <c:pt idx="6">
                  <c:v>2715000</c:v>
                </c:pt>
                <c:pt idx="7">
                  <c:v>3265000</c:v>
                </c:pt>
                <c:pt idx="8">
                  <c:v>3585000</c:v>
                </c:pt>
                <c:pt idx="9">
                  <c:v>3735000</c:v>
                </c:pt>
                <c:pt idx="10">
                  <c:v>3975000</c:v>
                </c:pt>
                <c:pt idx="11">
                  <c:v>4155000</c:v>
                </c:pt>
                <c:pt idx="12">
                  <c:v>4275000</c:v>
                </c:pt>
                <c:pt idx="13">
                  <c:v>4370000</c:v>
                </c:pt>
                <c:pt idx="14">
                  <c:v>4680000</c:v>
                </c:pt>
                <c:pt idx="15">
                  <c:v>4830000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D4B-4868-B86F-8B5061BBD753}"/>
            </c:ext>
          </c:extLst>
        </c:ser>
        <c:ser>
          <c:idx val="1"/>
          <c:order val="1"/>
          <c:tx>
            <c:v>CRTR Réel Payé Cumulé</c:v>
          </c:tx>
          <c:spPr>
            <a:ln w="20160">
              <a:solidFill>
                <a:srgbClr val="00B4D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'12. Disbursement Monitoring'!$L$4:$L$18</c:f>
              <c:strCache>
                <c:ptCount val="15"/>
                <c:pt idx="0">
                  <c:v>Comp. 1</c:v>
                </c:pt>
                <c:pt idx="1">
                  <c:v>Comp. 2</c:v>
                </c:pt>
                <c:pt idx="2">
                  <c:v>Comp. 3</c:v>
                </c:pt>
                <c:pt idx="3">
                  <c:v>Comp. 4</c:v>
                </c:pt>
                <c:pt idx="4">
                  <c:v>Comp. 5</c:v>
                </c:pt>
                <c:pt idx="5">
                  <c:v>Comp. 6</c:v>
                </c:pt>
                <c:pt idx="6">
                  <c:v>Comp. 7</c:v>
                </c:pt>
                <c:pt idx="7">
                  <c:v>Comp. 8</c:v>
                </c:pt>
                <c:pt idx="8">
                  <c:v>Comp. 9</c:v>
                </c:pt>
                <c:pt idx="9">
                  <c:v>Comp. 10</c:v>
                </c:pt>
                <c:pt idx="10">
                  <c:v>Comp. 11</c:v>
                </c:pt>
                <c:pt idx="11">
                  <c:v>Comp. 12</c:v>
                </c:pt>
                <c:pt idx="12">
                  <c:v>Comp. 13</c:v>
                </c:pt>
                <c:pt idx="13">
                  <c:v>Comp. 14</c:v>
                </c:pt>
                <c:pt idx="14">
                  <c:v>Comp. 15</c:v>
                </c:pt>
              </c:strCache>
            </c:strRef>
          </c:cat>
          <c:val>
            <c:numRef>
              <c:f>'12. Disbursement Monitoring'!$N$3:$N$18</c:f>
              <c:numCache>
                <c:formatCode>#,##0</c:formatCode>
                <c:ptCount val="16"/>
                <c:pt idx="0" formatCode="General">
                  <c:v>0</c:v>
                </c:pt>
                <c:pt idx="1">
                  <c:v>620000</c:v>
                </c:pt>
                <c:pt idx="2">
                  <c:v>1100000</c:v>
                </c:pt>
                <c:pt idx="3">
                  <c:v>1390000</c:v>
                </c:pt>
                <c:pt idx="4">
                  <c:v>1630000</c:v>
                </c:pt>
                <c:pt idx="5">
                  <c:v>1825000</c:v>
                </c:pt>
                <c:pt idx="6">
                  <c:v>1950000</c:v>
                </c:pt>
                <c:pt idx="7">
                  <c:v>2330000</c:v>
                </c:pt>
                <c:pt idx="8">
                  <c:v>2540000</c:v>
                </c:pt>
                <c:pt idx="9">
                  <c:v>2630000</c:v>
                </c:pt>
                <c:pt idx="10">
                  <c:v>2795000</c:v>
                </c:pt>
                <c:pt idx="11">
                  <c:v>2905000</c:v>
                </c:pt>
                <c:pt idx="12">
                  <c:v>2985000</c:v>
                </c:pt>
                <c:pt idx="13">
                  <c:v>3050000</c:v>
                </c:pt>
                <c:pt idx="14">
                  <c:v>3260000</c:v>
                </c:pt>
                <c:pt idx="15">
                  <c:v>3355000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D4B-4868-B86F-8B5061BBD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5636072"/>
        <c:axId val="64784264"/>
      </c:lineChart>
      <c:catAx>
        <c:axId val="256360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Composantes Budgétaires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4784264"/>
        <c:crosses val="autoZero"/>
        <c:auto val="1"/>
        <c:lblAlgn val="ctr"/>
        <c:lblOffset val="100"/>
        <c:noMultiLvlLbl val="0"/>
      </c:catAx>
      <c:valAx>
        <c:axId val="647842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Montant Cumulé (FCFA)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563607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Budget Planifié vs Réel Payé par Composante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CBTP (Planifié)</c:v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'12. Disbursement Monitoring'!$B$7:$B$21</c:f>
              <c:strCache>
                <c:ptCount val="15"/>
                <c:pt idx="0">
                  <c:v>Composante 1 — Personnel</c:v>
                </c:pt>
                <c:pt idx="1">
                  <c:v>Composante 2 — Consultants</c:v>
                </c:pt>
                <c:pt idx="2">
                  <c:v>Composante 3 — Formation</c:v>
                </c:pt>
                <c:pt idx="3">
                  <c:v>Composante 4 — Équipements</c:v>
                </c:pt>
                <c:pt idx="4">
                  <c:v>Composante 5 — Missions / Déplacements</c:v>
                </c:pt>
                <c:pt idx="5">
                  <c:v>Composante 6 — Ateliers / Réunions</c:v>
                </c:pt>
                <c:pt idx="6">
                  <c:v>Composante 7 — Infrastructures</c:v>
                </c:pt>
                <c:pt idx="7">
                  <c:v>Composante 8 — Sous-traitance</c:v>
                </c:pt>
                <c:pt idx="8">
                  <c:v>Composante 9 — Communication</c:v>
                </c:pt>
                <c:pt idx="9">
                  <c:v>Composante 10 — Frais généraux</c:v>
                </c:pt>
                <c:pt idx="10">
                  <c:v>Composante 11 — Imprévus</c:v>
                </c:pt>
                <c:pt idx="11">
                  <c:v>Composante 12 — Évaluation</c:v>
                </c:pt>
                <c:pt idx="12">
                  <c:v>Composante 13 — Audit</c:v>
                </c:pt>
                <c:pt idx="13">
                  <c:v>Composante 14 — Gestion du projet</c:v>
                </c:pt>
                <c:pt idx="14">
                  <c:v>Composante 15 — Autres</c:v>
                </c:pt>
              </c:strCache>
            </c:strRef>
          </c:cat>
          <c:val>
            <c:numRef>
              <c:f>'12. Disbursement Monitoring'!$C$5:$C$21</c:f>
              <c:numCache>
                <c:formatCode>General</c:formatCode>
                <c:ptCount val="17"/>
                <c:pt idx="0">
                  <c:v>0</c:v>
                </c:pt>
                <c:pt idx="2" formatCode="#\ ##0;\(#\ ##0\);\-">
                  <c:v>850000</c:v>
                </c:pt>
                <c:pt idx="3" formatCode="#\ ##0;\(#\ ##0\);\-">
                  <c:v>620000</c:v>
                </c:pt>
                <c:pt idx="4" formatCode="#\ ##0;\(#\ ##0\);\-">
                  <c:v>420000</c:v>
                </c:pt>
                <c:pt idx="5" formatCode="#\ ##0;\(#\ ##0\);\-">
                  <c:v>350000</c:v>
                </c:pt>
                <c:pt idx="6" formatCode="#\ ##0;\(#\ ##0\);\-">
                  <c:v>280000</c:v>
                </c:pt>
                <c:pt idx="7" formatCode="#\ ##0;\(#\ ##0\);\-">
                  <c:v>195000</c:v>
                </c:pt>
                <c:pt idx="8" formatCode="#\ ##0;\(#\ ##0\);\-">
                  <c:v>550000</c:v>
                </c:pt>
                <c:pt idx="9" formatCode="#\ ##0;\(#\ ##0\);\-">
                  <c:v>320000</c:v>
                </c:pt>
                <c:pt idx="10" formatCode="#\ ##0;\(#\ ##0\);\-">
                  <c:v>150000</c:v>
                </c:pt>
                <c:pt idx="11" formatCode="#\ ##0;\(#\ ##0\);\-">
                  <c:v>240000</c:v>
                </c:pt>
                <c:pt idx="12" formatCode="#\ ##0;\(#\ ##0\);\-">
                  <c:v>180000</c:v>
                </c:pt>
                <c:pt idx="13" formatCode="#\ ##0;\(#\ ##0\);\-">
                  <c:v>120000</c:v>
                </c:pt>
                <c:pt idx="14" formatCode="#\ ##0;\(#\ ##0\);\-">
                  <c:v>95000</c:v>
                </c:pt>
                <c:pt idx="15" formatCode="#\ ##0;\(#\ ##0\);\-">
                  <c:v>310000</c:v>
                </c:pt>
                <c:pt idx="16" formatCode="#\ ##0;\(#\ ##0\);\-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E-49B1-A172-D7B2DF8B2550}"/>
            </c:ext>
          </c:extLst>
        </c:ser>
        <c:ser>
          <c:idx val="1"/>
          <c:order val="1"/>
          <c:tx>
            <c:v>CRTR (Réel Payé)</c:v>
          </c:tx>
          <c:spPr>
            <a:solidFill>
              <a:srgbClr val="00B4D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'12. Disbursement Monitoring'!$B$7:$B$21</c:f>
              <c:strCache>
                <c:ptCount val="15"/>
                <c:pt idx="0">
                  <c:v>Composante 1 — Personnel</c:v>
                </c:pt>
                <c:pt idx="1">
                  <c:v>Composante 2 — Consultants</c:v>
                </c:pt>
                <c:pt idx="2">
                  <c:v>Composante 3 — Formation</c:v>
                </c:pt>
                <c:pt idx="3">
                  <c:v>Composante 4 — Équipements</c:v>
                </c:pt>
                <c:pt idx="4">
                  <c:v>Composante 5 — Missions / Déplacements</c:v>
                </c:pt>
                <c:pt idx="5">
                  <c:v>Composante 6 — Ateliers / Réunions</c:v>
                </c:pt>
                <c:pt idx="6">
                  <c:v>Composante 7 — Infrastructures</c:v>
                </c:pt>
                <c:pt idx="7">
                  <c:v>Composante 8 — Sous-traitance</c:v>
                </c:pt>
                <c:pt idx="8">
                  <c:v>Composante 9 — Communication</c:v>
                </c:pt>
                <c:pt idx="9">
                  <c:v>Composante 10 — Frais généraux</c:v>
                </c:pt>
                <c:pt idx="10">
                  <c:v>Composante 11 — Imprévus</c:v>
                </c:pt>
                <c:pt idx="11">
                  <c:v>Composante 12 — Évaluation</c:v>
                </c:pt>
                <c:pt idx="12">
                  <c:v>Composante 13 — Audit</c:v>
                </c:pt>
                <c:pt idx="13">
                  <c:v>Composante 14 — Gestion du projet</c:v>
                </c:pt>
                <c:pt idx="14">
                  <c:v>Composante 15 — Autres</c:v>
                </c:pt>
              </c:strCache>
            </c:strRef>
          </c:cat>
          <c:val>
            <c:numRef>
              <c:f>'12. Disbursement Monitoring'!$E$5:$E$21</c:f>
              <c:numCache>
                <c:formatCode>General</c:formatCode>
                <c:ptCount val="17"/>
                <c:pt idx="0">
                  <c:v>0</c:v>
                </c:pt>
                <c:pt idx="2" formatCode="#\ ##0;\(#\ ##0\);\-">
                  <c:v>620000</c:v>
                </c:pt>
                <c:pt idx="3" formatCode="#\ ##0;\(#\ ##0\);\-">
                  <c:v>480000</c:v>
                </c:pt>
                <c:pt idx="4" formatCode="#\ ##0;\(#\ ##0\);\-">
                  <c:v>290000</c:v>
                </c:pt>
                <c:pt idx="5" formatCode="#\ ##0;\(#\ ##0\);\-">
                  <c:v>240000</c:v>
                </c:pt>
                <c:pt idx="6" formatCode="#\ ##0;\(#\ ##0\);\-">
                  <c:v>195000</c:v>
                </c:pt>
                <c:pt idx="7" formatCode="#\ ##0;\(#\ ##0\);\-">
                  <c:v>125000</c:v>
                </c:pt>
                <c:pt idx="8" formatCode="#\ ##0;\(#\ ##0\);\-">
                  <c:v>380000</c:v>
                </c:pt>
                <c:pt idx="9" formatCode="#\ ##0;\(#\ ##0\);\-">
                  <c:v>210000</c:v>
                </c:pt>
                <c:pt idx="10" formatCode="#\ ##0;\(#\ ##0\);\-">
                  <c:v>90000</c:v>
                </c:pt>
                <c:pt idx="11" formatCode="#\ ##0;\(#\ ##0\);\-">
                  <c:v>165000</c:v>
                </c:pt>
                <c:pt idx="12" formatCode="#\ ##0;\(#\ ##0\);\-">
                  <c:v>110000</c:v>
                </c:pt>
                <c:pt idx="13" formatCode="#\ ##0;\(#\ ##0\);\-">
                  <c:v>80000</c:v>
                </c:pt>
                <c:pt idx="14" formatCode="#\ ##0;\(#\ ##0\);\-">
                  <c:v>65000</c:v>
                </c:pt>
                <c:pt idx="15" formatCode="#\ ##0;\(#\ ##0\);\-">
                  <c:v>210000</c:v>
                </c:pt>
                <c:pt idx="16" formatCode="#\ ##0;\(#\ ##0\);\-">
                  <c:v>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EE-49B1-A172-D7B2DF8B2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871463"/>
        <c:axId val="21531573"/>
      </c:barChart>
      <c:catAx>
        <c:axId val="34871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1531573"/>
        <c:crosses val="autoZero"/>
        <c:auto val="1"/>
        <c:lblAlgn val="ctr"/>
        <c:lblOffset val="100"/>
        <c:noMultiLvlLbl val="0"/>
      </c:catAx>
      <c:valAx>
        <c:axId val="2153157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Montant (FCFA)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487146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Score Risques par Catégorie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v>Score Moyen</c:v>
          </c:tx>
          <c:spPr>
            <a:solidFill>
              <a:srgbClr val="4E7940"/>
            </a:solidFill>
            <a:ln w="20160">
              <a:solidFill>
                <a:srgbClr val="1F4E79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'5. Risks Analysis'!$M$28:$M$34</c:f>
              <c:strCache>
                <c:ptCount val="7"/>
                <c:pt idx="0">
                  <c:v>Financier</c:v>
                </c:pt>
                <c:pt idx="1">
                  <c:v>Technique</c:v>
                </c:pt>
                <c:pt idx="2">
                  <c:v>Organisationnel</c:v>
                </c:pt>
                <c:pt idx="3">
                  <c:v>Environnemental</c:v>
                </c:pt>
                <c:pt idx="4">
                  <c:v>Politique</c:v>
                </c:pt>
                <c:pt idx="5">
                  <c:v>Social</c:v>
                </c:pt>
                <c:pt idx="6">
                  <c:v>Autre</c:v>
                </c:pt>
              </c:strCache>
            </c:strRef>
          </c:cat>
          <c:val>
            <c:numRef>
              <c:f>'5. Risks Analysis'!$N$27:$N$34</c:f>
              <c:numCache>
                <c:formatCode>0.0</c:formatCode>
                <c:ptCount val="8"/>
                <c:pt idx="0" formatCode="General">
                  <c:v>0</c:v>
                </c:pt>
                <c:pt idx="1">
                  <c:v>16</c:v>
                </c:pt>
                <c:pt idx="2">
                  <c:v>10.5</c:v>
                </c:pt>
                <c:pt idx="3">
                  <c:v>10.5</c:v>
                </c:pt>
                <c:pt idx="4">
                  <c:v>8</c:v>
                </c:pt>
                <c:pt idx="5">
                  <c:v>6</c:v>
                </c:pt>
                <c:pt idx="6">
                  <c:v>4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EE-4FFD-94E7-70B96D0F2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39751"/>
        <c:axId val="47059199"/>
      </c:radarChart>
      <c:catAx>
        <c:axId val="263975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7059199"/>
        <c:crosses val="autoZero"/>
        <c:auto val="1"/>
        <c:lblAlgn val="ctr"/>
        <c:lblOffset val="100"/>
        <c:noMultiLvlLbl val="0"/>
      </c:catAx>
      <c:valAx>
        <c:axId val="470591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63975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Maturité SMARTIES — Indicateurs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v>Score Moyen</c:v>
          </c:tx>
          <c:spPr>
            <a:solidFill>
              <a:srgbClr val="D82040"/>
            </a:solidFill>
            <a:ln w="21960">
              <a:solidFill>
                <a:srgbClr val="00B4D8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'6. Indicators selection'!$O$7:$O$14</c:f>
              <c:strCache>
                <c:ptCount val="8"/>
                <c:pt idx="0">
                  <c:v>S — Spécifique</c:v>
                </c:pt>
                <c:pt idx="1">
                  <c:v>M — Mesurable</c:v>
                </c:pt>
                <c:pt idx="2">
                  <c:v>A — Atteignable</c:v>
                </c:pt>
                <c:pt idx="3">
                  <c:v>R — Réaliste</c:v>
                </c:pt>
                <c:pt idx="4">
                  <c:v>T — Temporel</c:v>
                </c:pt>
                <c:pt idx="5">
                  <c:v>I — Indépendant</c:v>
                </c:pt>
                <c:pt idx="6">
                  <c:v>E — Éthique</c:v>
                </c:pt>
                <c:pt idx="7">
                  <c:v>S — Sensible genre</c:v>
                </c:pt>
              </c:strCache>
            </c:strRef>
          </c:cat>
          <c:val>
            <c:numRef>
              <c:f>'6. Indicators selection'!$P$6:$P$14</c:f>
              <c:numCache>
                <c:formatCode>0.00</c:formatCode>
                <c:ptCount val="9"/>
                <c:pt idx="0" formatCode="General">
                  <c:v>0</c:v>
                </c:pt>
                <c:pt idx="1">
                  <c:v>3.5</c:v>
                </c:pt>
                <c:pt idx="2">
                  <c:v>4.5</c:v>
                </c:pt>
                <c:pt idx="3">
                  <c:v>3.5</c:v>
                </c:pt>
                <c:pt idx="4">
                  <c:v>2.5</c:v>
                </c:pt>
                <c:pt idx="5">
                  <c:v>3.5</c:v>
                </c:pt>
                <c:pt idx="6">
                  <c:v>1.5</c:v>
                </c:pt>
                <c:pt idx="7">
                  <c:v>2.5</c:v>
                </c:pt>
                <c:pt idx="8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B7-4E2C-AD30-ADD1068EC9A6}"/>
            </c:ext>
          </c:extLst>
        </c:ser>
        <c:ser>
          <c:idx val="1"/>
          <c:order val="1"/>
          <c:tx>
            <c:v>Maximum (5)</c:v>
          </c:tx>
          <c:spPr>
            <a:solidFill>
              <a:srgbClr val="392B20"/>
            </a:solidFill>
            <a:ln w="15120">
              <a:solidFill>
                <a:srgbClr val="C0392B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'6. Indicators selection'!$O$7:$O$14</c:f>
              <c:strCache>
                <c:ptCount val="8"/>
                <c:pt idx="0">
                  <c:v>S — Spécifique</c:v>
                </c:pt>
                <c:pt idx="1">
                  <c:v>M — Mesurable</c:v>
                </c:pt>
                <c:pt idx="2">
                  <c:v>A — Atteignable</c:v>
                </c:pt>
                <c:pt idx="3">
                  <c:v>R — Réaliste</c:v>
                </c:pt>
                <c:pt idx="4">
                  <c:v>T — Temporel</c:v>
                </c:pt>
                <c:pt idx="5">
                  <c:v>I — Indépendant</c:v>
                </c:pt>
                <c:pt idx="6">
                  <c:v>E — Éthique</c:v>
                </c:pt>
                <c:pt idx="7">
                  <c:v>S — Sensible genre</c:v>
                </c:pt>
              </c:strCache>
            </c:strRef>
          </c:cat>
          <c:val>
            <c:numRef>
              <c:f>'6. Indicators selection'!$Q$6:$Q$14</c:f>
              <c:numCache>
                <c:formatCode>General</c:formatCode>
                <c:ptCount val="9"/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B7-4E2C-AD30-ADD1068EC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03389"/>
        <c:axId val="54001745"/>
      </c:radarChart>
      <c:catAx>
        <c:axId val="4330338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4001745"/>
        <c:crosses val="autoZero"/>
        <c:auto val="1"/>
        <c:lblAlgn val="ctr"/>
        <c:lblOffset val="100"/>
        <c:noMultiLvlLbl val="0"/>
      </c:catAx>
      <c:valAx>
        <c:axId val="5400174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330338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Indices EVM — IPC &amp; IPE (Référence = 1.0)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Valeur actuelle</c:v>
          </c:tx>
          <c:spPr>
            <a:solidFill>
              <a:srgbClr val="00B4D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'13. Dashboard'!$R$34:$R$36</c:f>
              <c:strCache>
                <c:ptCount val="3"/>
                <c:pt idx="0">
                  <c:v>IPC</c:v>
                </c:pt>
                <c:pt idx="1">
                  <c:v>IPE</c:v>
                </c:pt>
                <c:pt idx="2">
                  <c:v>TCPI</c:v>
                </c:pt>
              </c:strCache>
            </c:strRef>
          </c:cat>
          <c:val>
            <c:numRef>
              <c:f>'13. Dashboard'!$S$33:$S$36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58-4165-A1DB-88E4321688E3}"/>
            </c:ext>
          </c:extLst>
        </c:ser>
        <c:ser>
          <c:idx val="1"/>
          <c:order val="1"/>
          <c:tx>
            <c:v>Seuil (=1.0)</c:v>
          </c:tx>
          <c:spPr>
            <a:solidFill>
              <a:srgbClr val="C0392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'13. Dashboard'!$R$34:$R$36</c:f>
              <c:strCache>
                <c:ptCount val="3"/>
                <c:pt idx="0">
                  <c:v>IPC</c:v>
                </c:pt>
                <c:pt idx="1">
                  <c:v>IPE</c:v>
                </c:pt>
                <c:pt idx="2">
                  <c:v>TCPI</c:v>
                </c:pt>
              </c:strCache>
            </c:strRef>
          </c:cat>
          <c:val>
            <c:numRef>
              <c:f>'13. Dashboard'!$T$33:$T$36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58-4165-A1DB-88E432168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366158"/>
        <c:axId val="35057696"/>
      </c:barChart>
      <c:catAx>
        <c:axId val="6436615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5057696"/>
        <c:crosses val="autoZero"/>
        <c:auto val="1"/>
        <c:lblAlgn val="ctr"/>
        <c:lblOffset val="100"/>
        <c:noMultiLvlLbl val="0"/>
      </c:catAx>
      <c:valAx>
        <c:axId val="3505769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Indice de Performance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436615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0</xdr:rowOff>
    </xdr:from>
    <xdr:to>
      <xdr:col>20</xdr:col>
      <xdr:colOff>414360</xdr:colOff>
      <xdr:row>20</xdr:row>
      <xdr:rowOff>181800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4</xdr:row>
      <xdr:rowOff>0</xdr:rowOff>
    </xdr:from>
    <xdr:to>
      <xdr:col>27</xdr:col>
      <xdr:colOff>364680</xdr:colOff>
      <xdr:row>23</xdr:row>
      <xdr:rowOff>229680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0</xdr:rowOff>
    </xdr:from>
    <xdr:to>
      <xdr:col>18</xdr:col>
      <xdr:colOff>179100</xdr:colOff>
      <xdr:row>49</xdr:row>
      <xdr:rowOff>65520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19</xdr:row>
      <xdr:rowOff>0</xdr:rowOff>
    </xdr:from>
    <xdr:to>
      <xdr:col>22</xdr:col>
      <xdr:colOff>278640</xdr:colOff>
      <xdr:row>42</xdr:row>
      <xdr:rowOff>69480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36</xdr:row>
      <xdr:rowOff>0</xdr:rowOff>
    </xdr:from>
    <xdr:to>
      <xdr:col>22</xdr:col>
      <xdr:colOff>278640</xdr:colOff>
      <xdr:row>58</xdr:row>
      <xdr:rowOff>128520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53340</xdr:rowOff>
    </xdr:from>
    <xdr:to>
      <xdr:col>6</xdr:col>
      <xdr:colOff>261720</xdr:colOff>
      <xdr:row>58</xdr:row>
      <xdr:rowOff>139740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251460</xdr:colOff>
      <xdr:row>32</xdr:row>
      <xdr:rowOff>68580</xdr:rowOff>
    </xdr:from>
    <xdr:to>
      <xdr:col>16</xdr:col>
      <xdr:colOff>322740</xdr:colOff>
      <xdr:row>58</xdr:row>
      <xdr:rowOff>154980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59</xdr:row>
      <xdr:rowOff>68580</xdr:rowOff>
    </xdr:from>
    <xdr:to>
      <xdr:col>7</xdr:col>
      <xdr:colOff>417960</xdr:colOff>
      <xdr:row>78</xdr:row>
      <xdr:rowOff>56340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Downloads/PMO_Pilotage_Modernise.xlsx" TargetMode="External"/><Relationship Id="rId13" Type="http://schemas.openxmlformats.org/officeDocument/2006/relationships/hyperlink" Target="../Downloads/PMO_Pilotage_Modernise.xlsx" TargetMode="External"/><Relationship Id="rId3" Type="http://schemas.openxmlformats.org/officeDocument/2006/relationships/hyperlink" Target="../Downloads/PMO_Pilotage_Modernise.xlsx" TargetMode="External"/><Relationship Id="rId7" Type="http://schemas.openxmlformats.org/officeDocument/2006/relationships/hyperlink" Target="../Downloads/PMO_Pilotage_Modernise.xlsx" TargetMode="External"/><Relationship Id="rId12" Type="http://schemas.openxmlformats.org/officeDocument/2006/relationships/hyperlink" Target="../Downloads/PMO_Pilotage_Modernise.xlsx" TargetMode="External"/><Relationship Id="rId17" Type="http://schemas.openxmlformats.org/officeDocument/2006/relationships/hyperlink" Target="../Downloads/PMO_Pilotage_Modernise.xlsx" TargetMode="External"/><Relationship Id="rId2" Type="http://schemas.openxmlformats.org/officeDocument/2006/relationships/hyperlink" Target="../Downloads/PMO_Pilotage_Modernise.xlsx" TargetMode="External"/><Relationship Id="rId16" Type="http://schemas.openxmlformats.org/officeDocument/2006/relationships/hyperlink" Target="../Downloads/PMO_Pilotage_Modernise.xlsx" TargetMode="External"/><Relationship Id="rId1" Type="http://schemas.openxmlformats.org/officeDocument/2006/relationships/hyperlink" Target="../Downloads/PMO_Pilotage_Modernise.xlsx" TargetMode="External"/><Relationship Id="rId6" Type="http://schemas.openxmlformats.org/officeDocument/2006/relationships/hyperlink" Target="../Downloads/PMO_Pilotage_Modernise.xlsx" TargetMode="External"/><Relationship Id="rId11" Type="http://schemas.openxmlformats.org/officeDocument/2006/relationships/hyperlink" Target="../Downloads/PMO_Pilotage_Modernise.xlsx" TargetMode="External"/><Relationship Id="rId5" Type="http://schemas.openxmlformats.org/officeDocument/2006/relationships/hyperlink" Target="../Downloads/PMO_Pilotage_Modernise.xlsx" TargetMode="External"/><Relationship Id="rId15" Type="http://schemas.openxmlformats.org/officeDocument/2006/relationships/hyperlink" Target="../Downloads/PMO_Pilotage_Modernise.xlsx" TargetMode="External"/><Relationship Id="rId10" Type="http://schemas.openxmlformats.org/officeDocument/2006/relationships/hyperlink" Target="../Downloads/PMO_Pilotage_Modernise.xlsx" TargetMode="External"/><Relationship Id="rId4" Type="http://schemas.openxmlformats.org/officeDocument/2006/relationships/hyperlink" Target="../Downloads/PMO_Pilotage_Modernise.xlsx" TargetMode="External"/><Relationship Id="rId9" Type="http://schemas.openxmlformats.org/officeDocument/2006/relationships/hyperlink" Target="../Downloads/PMO_Pilotage_Modernise.xlsx" TargetMode="External"/><Relationship Id="rId14" Type="http://schemas.openxmlformats.org/officeDocument/2006/relationships/hyperlink" Target="../Downloads/PMO_Pilotage_Modernise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../Downloads/PMO_Pilotage_Modernise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../Downloads/PMO_Pilotage_Modernise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../Downloads/PMO_Pilotage_Modernise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../Downloads/PMO_Pilotage_Modernise.xlsx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../Downloads/PMO_Pilotage_Modernise.xlsx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../Downloads/PMO_Pilotage_Modernise.xlsx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../Downloads/PMO_Pilotage_Modernise.xlsx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../Downloads/PMO_Pilotage_Modernise.xlsx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../Downloads/PMO_Pilotage_Modernise.xlsx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../Downloads/PMO_Pilotage_Modernise.xlsx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../Downloads/PMO_Pilotage_Modernise.xlsx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../Downloads/PMO_Pilotage_Modernise.xlsx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../Downloads/PMO_Pilotage_Modernise.xlsx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../Downloads/PMO_Pilotage_Modernise.xlsx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../Downloads/PMO_Pilotage_Modernise.xlsx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../Downloads/PMO_Pilotage_Modernise.xlsx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../Downloads/PMO_Pilotage_Modernise.xlsx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../Downloads/PMO_Pilotage_Modernise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1B2A"/>
  </sheetPr>
  <dimension ref="A1:U26"/>
  <sheetViews>
    <sheetView showGridLines="0" tabSelected="1" zoomScaleNormal="100" workbookViewId="0">
      <selection activeCell="N7" sqref="N7:S9"/>
    </sheetView>
  </sheetViews>
  <sheetFormatPr baseColWidth="10" defaultColWidth="8.6640625" defaultRowHeight="14.4" x14ac:dyDescent="0.3"/>
  <cols>
    <col min="1" max="1" width="1" customWidth="1"/>
    <col min="2" max="2" width="10" customWidth="1"/>
    <col min="3" max="6" width="2" customWidth="1"/>
    <col min="7" max="7" width="7" customWidth="1"/>
    <col min="8" max="8" width="2" customWidth="1"/>
    <col min="9" max="9" width="10" customWidth="1"/>
    <col min="10" max="12" width="2" customWidth="1"/>
    <col min="13" max="13" width="11.109375" customWidth="1"/>
    <col min="14" max="14" width="6.33203125" customWidth="1"/>
    <col min="15" max="17" width="2" customWidth="1"/>
    <col min="18" max="18" width="10" customWidth="1"/>
    <col min="19" max="19" width="8.33203125" customWidth="1"/>
    <col min="20" max="20" width="2" customWidth="1"/>
    <col min="21" max="21" width="6" customWidth="1"/>
  </cols>
  <sheetData>
    <row r="1" spans="1:21" ht="49.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 customHeight="1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spans="1:21" ht="15" customHeight="1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</row>
    <row r="4" spans="1:21" ht="15" customHeight="1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</row>
    <row r="5" spans="1:21" ht="18" customHeight="1" x14ac:dyDescent="0.3">
      <c r="A5" s="12">
        <f>'0. Profil'!C5</f>
        <v>0</v>
      </c>
      <c r="B5" s="12"/>
      <c r="C5" s="12"/>
      <c r="D5" s="12"/>
      <c r="E5" s="12"/>
      <c r="F5" s="12"/>
      <c r="G5" s="12"/>
      <c r="H5" s="11">
        <f>'0. Profil'!C7</f>
        <v>0</v>
      </c>
      <c r="I5" s="11"/>
      <c r="J5" s="11"/>
      <c r="K5" s="11"/>
      <c r="L5" s="11"/>
      <c r="M5" s="11"/>
      <c r="N5" s="11"/>
      <c r="O5" s="10">
        <f ca="1">TODAY()</f>
        <v>46186</v>
      </c>
      <c r="P5" s="10"/>
      <c r="Q5" s="10"/>
      <c r="R5" s="10"/>
      <c r="S5" s="10"/>
      <c r="T5" s="10"/>
      <c r="U5" s="10"/>
    </row>
    <row r="7" spans="1:21" ht="21.75" customHeight="1" x14ac:dyDescent="0.3">
      <c r="B7" s="9" t="s">
        <v>1</v>
      </c>
      <c r="C7" s="9"/>
      <c r="D7" s="9"/>
      <c r="E7" s="9"/>
      <c r="F7" s="9"/>
      <c r="G7" s="9"/>
      <c r="H7" s="9" t="s">
        <v>2</v>
      </c>
      <c r="I7" s="9"/>
      <c r="J7" s="9"/>
      <c r="K7" s="9"/>
      <c r="L7" s="9"/>
      <c r="M7" s="9"/>
      <c r="N7" s="9" t="s">
        <v>3</v>
      </c>
      <c r="O7" s="9"/>
      <c r="P7" s="9"/>
      <c r="Q7" s="9"/>
      <c r="R7" s="9"/>
      <c r="S7" s="9"/>
    </row>
    <row r="8" spans="1:21" ht="15" customHeight="1" x14ac:dyDescent="0.3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spans="1:21" ht="15" customHeight="1" x14ac:dyDescent="0.3"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spans="1:21" ht="21.75" customHeight="1" x14ac:dyDescent="0.3">
      <c r="B10" s="9" t="s">
        <v>4</v>
      </c>
      <c r="C10" s="9"/>
      <c r="D10" s="9"/>
      <c r="E10" s="9"/>
      <c r="F10" s="9"/>
      <c r="G10" s="9"/>
      <c r="H10" s="9" t="s">
        <v>5</v>
      </c>
      <c r="I10" s="9"/>
      <c r="J10" s="9"/>
      <c r="K10" s="9"/>
      <c r="L10" s="9"/>
      <c r="M10" s="9"/>
      <c r="N10" s="8" t="s">
        <v>6</v>
      </c>
      <c r="O10" s="8"/>
      <c r="P10" s="8"/>
      <c r="Q10" s="8"/>
      <c r="R10" s="8"/>
      <c r="S10" s="8"/>
    </row>
    <row r="11" spans="1:21" ht="15" customHeight="1" x14ac:dyDescent="0.3"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8"/>
      <c r="O11" s="8"/>
      <c r="P11" s="8"/>
      <c r="Q11" s="8"/>
      <c r="R11" s="8"/>
      <c r="S11" s="8"/>
    </row>
    <row r="12" spans="1:21" ht="15" customHeight="1" x14ac:dyDescent="0.3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8"/>
      <c r="O12" s="8"/>
      <c r="P12" s="8"/>
      <c r="Q12" s="8"/>
      <c r="R12" s="8"/>
      <c r="S12" s="8"/>
    </row>
    <row r="13" spans="1:21" ht="21.75" customHeight="1" x14ac:dyDescent="0.3">
      <c r="B13" s="9" t="s">
        <v>7</v>
      </c>
      <c r="C13" s="9"/>
      <c r="D13" s="9"/>
      <c r="E13" s="9"/>
      <c r="F13" s="9"/>
      <c r="G13" s="9"/>
      <c r="H13" s="9" t="s">
        <v>8</v>
      </c>
      <c r="I13" s="9"/>
      <c r="J13" s="9"/>
      <c r="K13" s="9"/>
      <c r="L13" s="9"/>
      <c r="M13" s="9"/>
      <c r="N13" s="9" t="s">
        <v>9</v>
      </c>
      <c r="O13" s="9"/>
      <c r="P13" s="9"/>
      <c r="Q13" s="9"/>
      <c r="R13" s="9"/>
      <c r="S13" s="9"/>
    </row>
    <row r="14" spans="1:21" ht="15" customHeight="1" x14ac:dyDescent="0.3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21" ht="15" customHeight="1" x14ac:dyDescent="0.3"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21" ht="21.75" customHeight="1" x14ac:dyDescent="0.3">
      <c r="B16" s="9" t="s">
        <v>10</v>
      </c>
      <c r="C16" s="9"/>
      <c r="D16" s="9"/>
      <c r="E16" s="9"/>
      <c r="F16" s="9"/>
      <c r="G16" s="9"/>
      <c r="H16" s="9" t="s">
        <v>11</v>
      </c>
      <c r="I16" s="9"/>
      <c r="J16" s="9"/>
      <c r="K16" s="9"/>
      <c r="L16" s="9"/>
      <c r="M16" s="9"/>
      <c r="N16" s="9" t="s">
        <v>12</v>
      </c>
      <c r="O16" s="9"/>
      <c r="P16" s="9"/>
      <c r="Q16" s="9"/>
      <c r="R16" s="9"/>
      <c r="S16" s="9"/>
    </row>
    <row r="17" spans="1:21" ht="15" customHeight="1" x14ac:dyDescent="0.3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1" ht="15" customHeight="1" x14ac:dyDescent="0.3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1" ht="21.75" customHeight="1" x14ac:dyDescent="0.3">
      <c r="B19" s="7" t="s">
        <v>13</v>
      </c>
      <c r="C19" s="7"/>
      <c r="D19" s="7"/>
      <c r="E19" s="7"/>
      <c r="F19" s="7"/>
      <c r="G19" s="7"/>
      <c r="H19" s="6" t="s">
        <v>14</v>
      </c>
      <c r="I19" s="6"/>
      <c r="J19" s="6"/>
      <c r="K19" s="6"/>
      <c r="L19" s="6"/>
      <c r="M19" s="6"/>
      <c r="N19" s="9" t="s">
        <v>15</v>
      </c>
      <c r="O19" s="9"/>
      <c r="P19" s="9"/>
      <c r="Q19" s="9"/>
      <c r="R19" s="9"/>
      <c r="S19" s="9"/>
    </row>
    <row r="20" spans="1:21" ht="21.75" customHeight="1" x14ac:dyDescent="0.3">
      <c r="B20" s="7"/>
      <c r="C20" s="7"/>
      <c r="D20" s="7"/>
      <c r="E20" s="7"/>
      <c r="F20" s="7"/>
      <c r="G20" s="7"/>
      <c r="H20" s="6"/>
      <c r="I20" s="6"/>
      <c r="J20" s="6"/>
      <c r="K20" s="6"/>
      <c r="L20" s="6"/>
      <c r="M20" s="6"/>
      <c r="N20" s="9"/>
      <c r="O20" s="9"/>
      <c r="P20" s="9"/>
      <c r="Q20" s="9"/>
      <c r="R20" s="9"/>
      <c r="S20" s="9"/>
    </row>
    <row r="21" spans="1:21" ht="21.75" customHeight="1" x14ac:dyDescent="0.3">
      <c r="B21" s="7"/>
      <c r="C21" s="7"/>
      <c r="D21" s="7"/>
      <c r="E21" s="7"/>
      <c r="F21" s="7"/>
      <c r="G21" s="7"/>
      <c r="H21" s="6"/>
      <c r="I21" s="6"/>
      <c r="J21" s="6"/>
      <c r="K21" s="6"/>
      <c r="L21" s="6"/>
      <c r="M21" s="6"/>
      <c r="N21" s="9"/>
      <c r="O21" s="9"/>
      <c r="P21" s="9"/>
      <c r="Q21" s="9"/>
      <c r="R21" s="9"/>
      <c r="S21" s="9"/>
    </row>
    <row r="22" spans="1:21" ht="21.75" customHeight="1" x14ac:dyDescent="0.3">
      <c r="B22" s="9" t="s">
        <v>16</v>
      </c>
      <c r="C22" s="9"/>
      <c r="D22" s="9"/>
      <c r="E22" s="9"/>
      <c r="F22" s="9"/>
      <c r="G22" s="9"/>
      <c r="H22" s="9" t="s">
        <v>17</v>
      </c>
      <c r="I22" s="9"/>
      <c r="J22" s="9"/>
      <c r="K22" s="9"/>
      <c r="L22" s="9"/>
      <c r="M22" s="9"/>
    </row>
    <row r="23" spans="1:21" ht="15" customHeight="1" x14ac:dyDescent="0.3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21" ht="7.5" customHeight="1" x14ac:dyDescent="0.3">
      <c r="A24" s="14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14"/>
      <c r="O24" s="14"/>
      <c r="P24" s="14"/>
      <c r="Q24" s="14"/>
      <c r="R24" s="14"/>
      <c r="S24" s="14"/>
      <c r="T24" s="14"/>
      <c r="U24" s="14"/>
    </row>
    <row r="25" spans="1:21" ht="25.5" customHeight="1" x14ac:dyDescent="0.3">
      <c r="A25" s="5" t="s">
        <v>18</v>
      </c>
      <c r="B25" s="5"/>
      <c r="C25" s="5"/>
      <c r="D25" s="5"/>
      <c r="E25" s="4">
        <f>'13. Dashboard'!C12</f>
        <v>0</v>
      </c>
      <c r="F25" s="4"/>
      <c r="G25" s="4"/>
      <c r="H25" s="5" t="s">
        <v>19</v>
      </c>
      <c r="I25" s="5"/>
      <c r="J25" s="5"/>
      <c r="K25" s="5"/>
      <c r="L25" s="3">
        <f>'13. Dashboard'!C14</f>
        <v>0</v>
      </c>
      <c r="M25" s="3"/>
      <c r="N25" s="3"/>
      <c r="O25" s="2" t="s">
        <v>20</v>
      </c>
      <c r="P25" s="2"/>
      <c r="Q25" s="2"/>
      <c r="R25" s="2"/>
      <c r="S25" s="1" t="str">
        <f>'13. Dashboard'!C29</f>
        <v>🔴 ROUGE</v>
      </c>
      <c r="T25" s="1"/>
      <c r="U25" s="1"/>
    </row>
    <row r="26" spans="1:21" ht="25.5" customHeight="1" x14ac:dyDescent="0.3">
      <c r="A26" s="5"/>
      <c r="B26" s="5"/>
      <c r="C26" s="5"/>
      <c r="D26" s="5"/>
      <c r="E26" s="4"/>
      <c r="F26" s="4"/>
      <c r="G26" s="4"/>
      <c r="H26" s="5"/>
      <c r="I26" s="5"/>
      <c r="J26" s="5"/>
      <c r="K26" s="5"/>
      <c r="L26" s="3"/>
      <c r="M26" s="3"/>
      <c r="N26" s="3"/>
      <c r="O26" s="2"/>
      <c r="P26" s="2"/>
      <c r="Q26" s="2"/>
      <c r="R26" s="2"/>
      <c r="S26" s="1"/>
      <c r="T26" s="1"/>
      <c r="U26" s="1"/>
    </row>
  </sheetData>
  <mergeCells count="27">
    <mergeCell ref="O25:R26"/>
    <mergeCell ref="S25:U26"/>
    <mergeCell ref="B22:G24"/>
    <mergeCell ref="H22:M24"/>
    <mergeCell ref="A25:D26"/>
    <mergeCell ref="E25:G26"/>
    <mergeCell ref="H25:K26"/>
    <mergeCell ref="L25:N26"/>
    <mergeCell ref="B16:G18"/>
    <mergeCell ref="H16:M18"/>
    <mergeCell ref="N16:S18"/>
    <mergeCell ref="B19:G21"/>
    <mergeCell ref="H19:M21"/>
    <mergeCell ref="N19:S21"/>
    <mergeCell ref="B10:G12"/>
    <mergeCell ref="H10:M12"/>
    <mergeCell ref="N10:S12"/>
    <mergeCell ref="B13:G15"/>
    <mergeCell ref="H13:M15"/>
    <mergeCell ref="N13:S15"/>
    <mergeCell ref="A1:U4"/>
    <mergeCell ref="A5:G5"/>
    <mergeCell ref="H5:N5"/>
    <mergeCell ref="O5:U5"/>
    <mergeCell ref="B7:G9"/>
    <mergeCell ref="H7:M9"/>
    <mergeCell ref="N7:S9"/>
  </mergeCells>
  <conditionalFormatting sqref="E25:G26">
    <cfRule type="cellIs" dxfId="26" priority="2" operator="lessThan">
      <formula>0.9</formula>
    </cfRule>
    <cfRule type="cellIs" dxfId="25" priority="3" operator="greaterThanOrEqual">
      <formula>1</formula>
    </cfRule>
  </conditionalFormatting>
  <conditionalFormatting sqref="L25:N26">
    <cfRule type="cellIs" dxfId="24" priority="4" operator="lessThan">
      <formula>0.9</formula>
    </cfRule>
    <cfRule type="cellIs" dxfId="23" priority="5" operator="greaterThanOrEqual">
      <formula>1</formula>
    </cfRule>
  </conditionalFormatting>
  <hyperlinks>
    <hyperlink ref="B7" r:id="rId1" location="'0.%20Profil'!B1" xr:uid="{00000000-0004-0000-0000-000000000000}"/>
    <hyperlink ref="H7" r:id="rId2" location="'1.%20Environment'!B1" xr:uid="{00000000-0004-0000-0000-000001000000}"/>
    <hyperlink ref="N7" r:id="rId3" location="'2.%20Stakeholders'!B1" xr:uid="{00000000-0004-0000-0000-000002000000}"/>
    <hyperlink ref="B10" r:id="rId4" location="'3.%20Logical%20Framework'!B1" xr:uid="{00000000-0004-0000-0000-000003000000}"/>
    <hyperlink ref="H10" r:id="rId5" location="'4.%20Performance%20Questions'!B1" xr:uid="{00000000-0004-0000-0000-000004000000}"/>
    <hyperlink ref="N10" r:id="rId6" location="'5.%20Risks%20Analysis'!B1" xr:uid="{00000000-0004-0000-0000-000005000000}"/>
    <hyperlink ref="B13" r:id="rId7" location="'6.%20Indicators%20selection'!B1" xr:uid="{00000000-0004-0000-0000-000006000000}"/>
    <hyperlink ref="H13" r:id="rId8" location="'7.%20Efficacy%20indicators'!B1" xr:uid="{00000000-0004-0000-0000-000007000000}"/>
    <hyperlink ref="N13" r:id="rId9" location="'8.%20Indicators%20files'!B1" xr:uid="{00000000-0004-0000-0000-000008000000}"/>
    <hyperlink ref="B16" r:id="rId10" location="'9.%20Indicators%20Calendar'!B1" xr:uid="{00000000-0004-0000-0000-000009000000}"/>
    <hyperlink ref="H16" r:id="rId11" location="'10.%20Data%20Collection'!B1" xr:uid="{00000000-0004-0000-0000-00000A000000}"/>
    <hyperlink ref="N16" r:id="rId12" location="'11.%20M&amp;E%20Matrix'!B1" xr:uid="{00000000-0004-0000-0000-00000B000000}"/>
    <hyperlink ref="B19" r:id="rId13" location="'12.%20Disbursement%20Monitoring'!B1" xr:uid="{00000000-0004-0000-0000-00000C000000}"/>
    <hyperlink ref="H19" r:id="rId14" location="'13.%20Dashboard'!B1" xr:uid="{00000000-0004-0000-0000-00000D000000}"/>
    <hyperlink ref="N19" r:id="rId15" location="'14.%20Status%20report'!B1" xr:uid="{00000000-0004-0000-0000-00000E000000}"/>
    <hyperlink ref="B22" r:id="rId16" location="'15.%20Evaluation%20Matrix'!B1" xr:uid="{00000000-0004-0000-0000-00000F000000}"/>
    <hyperlink ref="H22" r:id="rId17" location="'16.%20Procurement%20Plan'!B1" xr:uid="{00000000-0004-0000-0000-00001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A1:D28"/>
  <sheetViews>
    <sheetView showGridLines="0" topLeftCell="A15" zoomScaleNormal="100" workbookViewId="0">
      <selection activeCell="B30" sqref="B30"/>
    </sheetView>
  </sheetViews>
  <sheetFormatPr baseColWidth="10" defaultColWidth="8.6640625" defaultRowHeight="14.4" x14ac:dyDescent="0.3"/>
  <cols>
    <col min="1" max="1" width="6" customWidth="1"/>
    <col min="2" max="2" width="28" customWidth="1"/>
    <col min="3" max="3" width="65" customWidth="1"/>
    <col min="4" max="4" width="10" customWidth="1"/>
  </cols>
  <sheetData>
    <row r="1" spans="1:4" ht="36" customHeight="1" x14ac:dyDescent="0.3">
      <c r="A1" s="98" t="s">
        <v>21</v>
      </c>
      <c r="B1" s="98"/>
      <c r="C1" s="98"/>
      <c r="D1" s="98"/>
    </row>
    <row r="2" spans="1:4" ht="15" customHeight="1" x14ac:dyDescent="0.3">
      <c r="A2" s="15" t="s">
        <v>22</v>
      </c>
    </row>
    <row r="4" spans="1:4" ht="15" customHeight="1" x14ac:dyDescent="0.3">
      <c r="A4" s="16" t="s">
        <v>23</v>
      </c>
      <c r="B4" s="16" t="s">
        <v>24</v>
      </c>
      <c r="C4" s="16" t="s">
        <v>25</v>
      </c>
    </row>
    <row r="5" spans="1:4" ht="19.5" customHeight="1" x14ac:dyDescent="0.3">
      <c r="A5" s="17" t="s">
        <v>26</v>
      </c>
      <c r="B5" s="18" t="s">
        <v>27</v>
      </c>
      <c r="C5" s="19" t="s">
        <v>28</v>
      </c>
    </row>
    <row r="6" spans="1:4" ht="19.5" customHeight="1" x14ac:dyDescent="0.3">
      <c r="A6" s="17" t="s">
        <v>29</v>
      </c>
      <c r="B6" s="20" t="s">
        <v>30</v>
      </c>
      <c r="C6" s="21" t="s">
        <v>31</v>
      </c>
    </row>
    <row r="7" spans="1:4" ht="19.5" customHeight="1" x14ac:dyDescent="0.3">
      <c r="A7" s="17" t="s">
        <v>32</v>
      </c>
      <c r="B7" s="18" t="s">
        <v>33</v>
      </c>
      <c r="C7" s="19" t="s">
        <v>34</v>
      </c>
    </row>
    <row r="8" spans="1:4" ht="19.5" customHeight="1" x14ac:dyDescent="0.3">
      <c r="A8" s="17" t="s">
        <v>35</v>
      </c>
      <c r="B8" s="20" t="s">
        <v>36</v>
      </c>
      <c r="C8" s="21" t="s">
        <v>37</v>
      </c>
    </row>
    <row r="9" spans="1:4" ht="19.5" customHeight="1" x14ac:dyDescent="0.3">
      <c r="A9" s="17" t="s">
        <v>38</v>
      </c>
      <c r="B9" s="18" t="s">
        <v>39</v>
      </c>
      <c r="C9" s="19" t="s">
        <v>40</v>
      </c>
    </row>
    <row r="10" spans="1:4" ht="19.5" customHeight="1" x14ac:dyDescent="0.3">
      <c r="A10" s="17" t="s">
        <v>41</v>
      </c>
      <c r="B10" s="20" t="s">
        <v>42</v>
      </c>
      <c r="C10" s="21" t="s">
        <v>43</v>
      </c>
    </row>
    <row r="11" spans="1:4" ht="19.5" customHeight="1" x14ac:dyDescent="0.3">
      <c r="A11" s="17" t="s">
        <v>44</v>
      </c>
      <c r="B11" s="18" t="s">
        <v>45</v>
      </c>
      <c r="C11" s="19" t="s">
        <v>46</v>
      </c>
    </row>
    <row r="12" spans="1:4" ht="19.5" customHeight="1" x14ac:dyDescent="0.3">
      <c r="A12" s="17" t="s">
        <v>47</v>
      </c>
      <c r="B12" s="20" t="s">
        <v>48</v>
      </c>
      <c r="C12" s="21" t="s">
        <v>49</v>
      </c>
    </row>
    <row r="13" spans="1:4" ht="19.5" customHeight="1" x14ac:dyDescent="0.3">
      <c r="A13" s="17" t="s">
        <v>50</v>
      </c>
      <c r="B13" s="18" t="s">
        <v>51</v>
      </c>
      <c r="C13" s="19" t="s">
        <v>52</v>
      </c>
    </row>
    <row r="14" spans="1:4" ht="19.5" customHeight="1" x14ac:dyDescent="0.3">
      <c r="A14" s="17" t="s">
        <v>53</v>
      </c>
      <c r="B14" s="20" t="s">
        <v>54</v>
      </c>
      <c r="C14" s="21" t="s">
        <v>55</v>
      </c>
    </row>
    <row r="15" spans="1:4" ht="19.5" customHeight="1" x14ac:dyDescent="0.3">
      <c r="A15" s="17" t="s">
        <v>56</v>
      </c>
      <c r="B15" s="18" t="s">
        <v>57</v>
      </c>
      <c r="C15" s="19" t="s">
        <v>58</v>
      </c>
    </row>
    <row r="16" spans="1:4" ht="19.5" customHeight="1" x14ac:dyDescent="0.3">
      <c r="A16" s="17" t="s">
        <v>59</v>
      </c>
      <c r="B16" s="20" t="s">
        <v>60</v>
      </c>
      <c r="C16" s="21" t="s">
        <v>61</v>
      </c>
    </row>
    <row r="17" spans="1:4" ht="19.5" customHeight="1" x14ac:dyDescent="0.3">
      <c r="A17" s="17" t="s">
        <v>62</v>
      </c>
      <c r="B17" s="18" t="s">
        <v>63</v>
      </c>
      <c r="C17" s="19" t="s">
        <v>64</v>
      </c>
    </row>
    <row r="18" spans="1:4" ht="19.5" customHeight="1" x14ac:dyDescent="0.3">
      <c r="A18" s="17" t="s">
        <v>65</v>
      </c>
      <c r="B18" s="20" t="s">
        <v>66</v>
      </c>
      <c r="C18" s="21" t="s">
        <v>67</v>
      </c>
    </row>
    <row r="19" spans="1:4" ht="19.5" customHeight="1" x14ac:dyDescent="0.3">
      <c r="A19" s="17" t="s">
        <v>68</v>
      </c>
      <c r="B19" s="18" t="s">
        <v>69</v>
      </c>
      <c r="C19" s="19" t="s">
        <v>70</v>
      </c>
    </row>
    <row r="20" spans="1:4" ht="19.5" customHeight="1" x14ac:dyDescent="0.3">
      <c r="A20" s="17" t="s">
        <v>71</v>
      </c>
      <c r="B20" s="20" t="s">
        <v>72</v>
      </c>
      <c r="C20" s="21" t="s">
        <v>73</v>
      </c>
    </row>
    <row r="21" spans="1:4" ht="19.5" customHeight="1" x14ac:dyDescent="0.3">
      <c r="A21" s="17" t="s">
        <v>74</v>
      </c>
      <c r="B21" s="18" t="s">
        <v>75</v>
      </c>
      <c r="C21" s="19" t="s">
        <v>76</v>
      </c>
    </row>
    <row r="24" spans="1:4" ht="21.75" customHeight="1" x14ac:dyDescent="0.3">
      <c r="A24" s="99" t="s">
        <v>77</v>
      </c>
      <c r="B24" s="99"/>
      <c r="C24" s="99"/>
      <c r="D24" s="99"/>
    </row>
    <row r="25" spans="1:4" ht="24" customHeight="1" x14ac:dyDescent="0.3">
      <c r="A25" s="100" t="s">
        <v>78</v>
      </c>
      <c r="B25" s="100"/>
      <c r="C25" s="101">
        <f>'13. Dashboard'!C12</f>
        <v>0</v>
      </c>
      <c r="D25" s="101"/>
    </row>
    <row r="26" spans="1:4" ht="24" customHeight="1" x14ac:dyDescent="0.3">
      <c r="A26" s="100" t="s">
        <v>79</v>
      </c>
      <c r="B26" s="100"/>
      <c r="C26" s="102">
        <f>'13. Dashboard'!C14</f>
        <v>0</v>
      </c>
      <c r="D26" s="102"/>
    </row>
    <row r="27" spans="1:4" ht="24" customHeight="1" x14ac:dyDescent="0.3">
      <c r="A27" s="100" t="s">
        <v>80</v>
      </c>
      <c r="B27" s="100"/>
      <c r="C27" s="103" t="str">
        <f>'13. Dashboard'!C15</f>
        <v/>
      </c>
      <c r="D27" s="103"/>
    </row>
    <row r="28" spans="1:4" ht="24" customHeight="1" x14ac:dyDescent="0.3">
      <c r="A28" s="100" t="s">
        <v>81</v>
      </c>
      <c r="B28" s="100"/>
      <c r="C28" s="104">
        <f>'13. Dashboard'!C22</f>
        <v>0</v>
      </c>
      <c r="D28" s="104"/>
    </row>
  </sheetData>
  <mergeCells count="10">
    <mergeCell ref="A27:B27"/>
    <mergeCell ref="C27:D27"/>
    <mergeCell ref="A28:B28"/>
    <mergeCell ref="C28:D28"/>
    <mergeCell ref="A1:D1"/>
    <mergeCell ref="A24:D24"/>
    <mergeCell ref="A25:B25"/>
    <mergeCell ref="C25:D25"/>
    <mergeCell ref="A26:B26"/>
    <mergeCell ref="C26:D26"/>
  </mergeCells>
  <conditionalFormatting sqref="C25">
    <cfRule type="cellIs" dxfId="22" priority="2" operator="lessThan">
      <formula>0.9</formula>
    </cfRule>
  </conditionalFormatting>
  <conditionalFormatting sqref="C26">
    <cfRule type="cellIs" dxfId="21" priority="3" operator="lessThan">
      <formula>0.9</formula>
    </cfRule>
  </conditionalFormatting>
  <hyperlinks>
    <hyperlink ref="A2" r:id="rId1" location="'MENU%20fr'!B2" xr:uid="{00000000-0004-0000-01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9"/>
  </sheetPr>
  <dimension ref="A1:D25"/>
  <sheetViews>
    <sheetView showGridLines="0" zoomScaleNormal="100" workbookViewId="0">
      <pane ySplit="3" topLeftCell="A17" activePane="bottomLeft" state="frozen"/>
      <selection pane="bottomLeft" sqref="A1:D1"/>
    </sheetView>
  </sheetViews>
  <sheetFormatPr baseColWidth="10" defaultColWidth="8.6640625" defaultRowHeight="14.4" x14ac:dyDescent="0.3"/>
  <cols>
    <col min="1" max="2" width="20" customWidth="1"/>
    <col min="3" max="3" width="30" customWidth="1"/>
    <col min="4" max="4" width="20" customWidth="1"/>
  </cols>
  <sheetData>
    <row r="1" spans="1:4" ht="36" customHeight="1" x14ac:dyDescent="0.3">
      <c r="A1" s="98" t="s">
        <v>82</v>
      </c>
      <c r="B1" s="98"/>
      <c r="C1" s="98"/>
      <c r="D1" s="98"/>
    </row>
    <row r="2" spans="1:4" ht="15" customHeight="1" x14ac:dyDescent="0.3">
      <c r="A2" s="15" t="s">
        <v>22</v>
      </c>
    </row>
    <row r="4" spans="1:4" ht="15" customHeight="1" x14ac:dyDescent="0.3">
      <c r="A4" s="105" t="s">
        <v>83</v>
      </c>
      <c r="B4" s="105"/>
      <c r="C4" s="105"/>
      <c r="D4" s="105"/>
    </row>
    <row r="5" spans="1:4" ht="21.75" customHeight="1" x14ac:dyDescent="0.3">
      <c r="A5" s="106" t="s">
        <v>84</v>
      </c>
      <c r="B5" s="106"/>
      <c r="C5" s="107"/>
      <c r="D5" s="107"/>
    </row>
    <row r="6" spans="1:4" ht="21.75" customHeight="1" x14ac:dyDescent="0.3">
      <c r="A6" s="106" t="s">
        <v>85</v>
      </c>
      <c r="B6" s="106"/>
      <c r="C6" s="107"/>
      <c r="D6" s="107"/>
    </row>
    <row r="7" spans="1:4" ht="21.75" customHeight="1" x14ac:dyDescent="0.3">
      <c r="A7" s="106" t="s">
        <v>86</v>
      </c>
      <c r="B7" s="106"/>
      <c r="C7" s="107"/>
      <c r="D7" s="107"/>
    </row>
    <row r="8" spans="1:4" ht="21.75" customHeight="1" x14ac:dyDescent="0.3">
      <c r="A8" s="106" t="s">
        <v>87</v>
      </c>
      <c r="B8" s="106"/>
      <c r="C8" s="107"/>
      <c r="D8" s="107"/>
    </row>
    <row r="9" spans="1:4" ht="21.75" customHeight="1" x14ac:dyDescent="0.3">
      <c r="A9" s="106" t="s">
        <v>88</v>
      </c>
      <c r="B9" s="106"/>
      <c r="C9" s="107"/>
      <c r="D9" s="107"/>
    </row>
    <row r="10" spans="1:4" ht="21.75" customHeight="1" x14ac:dyDescent="0.3">
      <c r="A10" s="106" t="s">
        <v>89</v>
      </c>
      <c r="B10" s="106"/>
      <c r="C10" s="107"/>
      <c r="D10" s="107"/>
    </row>
    <row r="11" spans="1:4" ht="21.75" customHeight="1" x14ac:dyDescent="0.3">
      <c r="A11" s="106" t="s">
        <v>90</v>
      </c>
      <c r="B11" s="106"/>
      <c r="C11" s="107"/>
      <c r="D11" s="107"/>
    </row>
    <row r="12" spans="1:4" ht="21.75" customHeight="1" x14ac:dyDescent="0.3">
      <c r="A12" s="106" t="s">
        <v>91</v>
      </c>
      <c r="B12" s="106"/>
      <c r="C12" s="107"/>
      <c r="D12" s="107"/>
    </row>
    <row r="13" spans="1:4" ht="21.75" customHeight="1" x14ac:dyDescent="0.3">
      <c r="A13" s="106" t="s">
        <v>92</v>
      </c>
      <c r="B13" s="106"/>
      <c r="C13" s="107"/>
      <c r="D13" s="107"/>
    </row>
    <row r="14" spans="1:4" ht="21.75" customHeight="1" x14ac:dyDescent="0.3">
      <c r="A14" s="106" t="s">
        <v>93</v>
      </c>
      <c r="B14" s="106"/>
      <c r="C14" s="108">
        <f>IFERROR(DATEDIF(C12,C13,"M"),"")</f>
        <v>0</v>
      </c>
      <c r="D14" s="108"/>
    </row>
    <row r="15" spans="1:4" ht="21.75" customHeight="1" x14ac:dyDescent="0.3">
      <c r="A15" s="106" t="s">
        <v>94</v>
      </c>
      <c r="B15" s="106"/>
      <c r="C15" s="107"/>
      <c r="D15" s="107"/>
    </row>
    <row r="16" spans="1:4" ht="21.75" customHeight="1" x14ac:dyDescent="0.3">
      <c r="A16" s="106" t="s">
        <v>95</v>
      </c>
      <c r="B16" s="106"/>
      <c r="C16" s="107"/>
      <c r="D16" s="107"/>
    </row>
    <row r="17" spans="1:4" ht="21.75" customHeight="1" x14ac:dyDescent="0.3">
      <c r="A17" s="106" t="s">
        <v>96</v>
      </c>
      <c r="B17" s="106"/>
      <c r="C17" s="107"/>
      <c r="D17" s="107"/>
    </row>
    <row r="19" spans="1:4" ht="15" customHeight="1" x14ac:dyDescent="0.3">
      <c r="A19" s="105" t="s">
        <v>97</v>
      </c>
      <c r="B19" s="105"/>
      <c r="C19" s="105"/>
      <c r="D19" s="105"/>
    </row>
    <row r="20" spans="1:4" ht="21.75" customHeight="1" x14ac:dyDescent="0.3">
      <c r="A20" s="109" t="s">
        <v>98</v>
      </c>
      <c r="B20" s="109"/>
    </row>
    <row r="21" spans="1:4" ht="49.5" customHeight="1" x14ac:dyDescent="0.3">
      <c r="A21" s="110"/>
      <c r="B21" s="110"/>
      <c r="C21" s="110"/>
      <c r="D21" s="110"/>
    </row>
    <row r="22" spans="1:4" ht="21.75" customHeight="1" x14ac:dyDescent="0.3">
      <c r="A22" s="109" t="s">
        <v>99</v>
      </c>
      <c r="B22" s="109"/>
    </row>
    <row r="23" spans="1:4" ht="49.5" customHeight="1" x14ac:dyDescent="0.3">
      <c r="A23" s="110"/>
      <c r="B23" s="110"/>
      <c r="C23" s="110"/>
      <c r="D23" s="110"/>
    </row>
    <row r="24" spans="1:4" ht="21.75" customHeight="1" x14ac:dyDescent="0.3">
      <c r="A24" s="109" t="s">
        <v>100</v>
      </c>
      <c r="B24" s="109"/>
    </row>
    <row r="25" spans="1:4" ht="49.5" customHeight="1" x14ac:dyDescent="0.3">
      <c r="A25" s="110"/>
      <c r="B25" s="110"/>
      <c r="C25" s="110"/>
      <c r="D25" s="110"/>
    </row>
  </sheetData>
  <mergeCells count="35">
    <mergeCell ref="A25:D25"/>
    <mergeCell ref="A20:B20"/>
    <mergeCell ref="A21:D21"/>
    <mergeCell ref="A22:B22"/>
    <mergeCell ref="A23:D23"/>
    <mergeCell ref="A24:B24"/>
    <mergeCell ref="A16:B16"/>
    <mergeCell ref="C16:D16"/>
    <mergeCell ref="A17:B17"/>
    <mergeCell ref="C17:D17"/>
    <mergeCell ref="A19:D19"/>
    <mergeCell ref="A13:B13"/>
    <mergeCell ref="C13:D13"/>
    <mergeCell ref="A14:B14"/>
    <mergeCell ref="C14:D14"/>
    <mergeCell ref="A15:B15"/>
    <mergeCell ref="C15:D15"/>
    <mergeCell ref="A10:B10"/>
    <mergeCell ref="C10:D10"/>
    <mergeCell ref="A11:B11"/>
    <mergeCell ref="C11:D11"/>
    <mergeCell ref="A12:B12"/>
    <mergeCell ref="C12:D12"/>
    <mergeCell ref="A7:B7"/>
    <mergeCell ref="C7:D7"/>
    <mergeCell ref="A8:B8"/>
    <mergeCell ref="C8:D8"/>
    <mergeCell ref="A9:B9"/>
    <mergeCell ref="C9:D9"/>
    <mergeCell ref="A1:D1"/>
    <mergeCell ref="A4:D4"/>
    <mergeCell ref="A5:B5"/>
    <mergeCell ref="C5:D5"/>
    <mergeCell ref="A6:B6"/>
    <mergeCell ref="C6:D6"/>
  </mergeCells>
  <hyperlinks>
    <hyperlink ref="A2" r:id="rId1" location="'MENU%20fr'!B2" xr:uid="{00000000-0004-0000-02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9"/>
  </sheetPr>
  <dimension ref="A1:E13"/>
  <sheetViews>
    <sheetView showGridLines="0" zoomScaleNormal="100" workbookViewId="0">
      <pane ySplit="5" topLeftCell="A6" activePane="bottomLeft" state="frozen"/>
      <selection pane="bottomLeft" sqref="A1:E1"/>
    </sheetView>
  </sheetViews>
  <sheetFormatPr baseColWidth="10" defaultColWidth="8.6640625" defaultRowHeight="14.4" x14ac:dyDescent="0.3"/>
  <cols>
    <col min="1" max="1" width="22" customWidth="1"/>
    <col min="2" max="2" width="35" customWidth="1"/>
    <col min="3" max="3" width="28" customWidth="1"/>
    <col min="4" max="5" width="30" customWidth="1"/>
  </cols>
  <sheetData>
    <row r="1" spans="1:5" ht="36" customHeight="1" x14ac:dyDescent="0.3">
      <c r="A1" s="98" t="s">
        <v>101</v>
      </c>
      <c r="B1" s="98"/>
      <c r="C1" s="98"/>
      <c r="D1" s="98"/>
      <c r="E1" s="98"/>
    </row>
    <row r="2" spans="1:5" ht="15" customHeight="1" x14ac:dyDescent="0.3">
      <c r="A2" s="15" t="s">
        <v>22</v>
      </c>
    </row>
    <row r="3" spans="1:5" ht="15" customHeight="1" x14ac:dyDescent="0.3">
      <c r="A3" s="111" t="s">
        <v>102</v>
      </c>
      <c r="B3" s="111"/>
      <c r="C3" s="111"/>
      <c r="D3" s="112">
        <f>'0. Profil'!C5</f>
        <v>0</v>
      </c>
      <c r="E3" s="112"/>
    </row>
    <row r="4" spans="1:5" ht="15" customHeight="1" x14ac:dyDescent="0.3">
      <c r="A4" s="105" t="s">
        <v>103</v>
      </c>
      <c r="B4" s="105"/>
      <c r="C4" s="105"/>
      <c r="D4" s="105"/>
      <c r="E4" s="105"/>
    </row>
    <row r="5" spans="1:5" ht="31.5" customHeight="1" x14ac:dyDescent="0.3">
      <c r="A5" s="22" t="s">
        <v>104</v>
      </c>
      <c r="B5" s="22" t="s">
        <v>105</v>
      </c>
      <c r="C5" s="22" t="s">
        <v>106</v>
      </c>
      <c r="D5" s="22" t="s">
        <v>107</v>
      </c>
      <c r="E5" s="22" t="s">
        <v>108</v>
      </c>
    </row>
    <row r="6" spans="1:5" ht="21.75" customHeight="1" x14ac:dyDescent="0.3">
      <c r="A6" s="23"/>
      <c r="B6" s="23"/>
      <c r="C6" s="23"/>
      <c r="D6" s="23"/>
      <c r="E6" s="23"/>
    </row>
    <row r="7" spans="1:5" ht="21.75" customHeight="1" x14ac:dyDescent="0.3">
      <c r="A7" s="24"/>
      <c r="B7" s="24"/>
      <c r="C7" s="24"/>
      <c r="D7" s="24"/>
      <c r="E7" s="24"/>
    </row>
    <row r="8" spans="1:5" ht="21.75" customHeight="1" x14ac:dyDescent="0.3">
      <c r="A8" s="23"/>
      <c r="B8" s="23"/>
      <c r="C8" s="23"/>
      <c r="D8" s="23"/>
      <c r="E8" s="23"/>
    </row>
    <row r="9" spans="1:5" ht="21.75" customHeight="1" x14ac:dyDescent="0.3">
      <c r="A9" s="24"/>
      <c r="B9" s="24"/>
      <c r="C9" s="24"/>
      <c r="D9" s="24"/>
      <c r="E9" s="24"/>
    </row>
    <row r="10" spans="1:5" ht="21.75" customHeight="1" x14ac:dyDescent="0.3">
      <c r="A10" s="23"/>
      <c r="B10" s="23"/>
      <c r="C10" s="23"/>
      <c r="D10" s="23"/>
      <c r="E10" s="23"/>
    </row>
    <row r="11" spans="1:5" ht="21.75" customHeight="1" x14ac:dyDescent="0.3">
      <c r="A11" s="24"/>
      <c r="B11" s="24"/>
      <c r="C11" s="24"/>
      <c r="D11" s="24"/>
      <c r="E11" s="24"/>
    </row>
    <row r="12" spans="1:5" ht="21.75" customHeight="1" x14ac:dyDescent="0.3">
      <c r="A12" s="23"/>
      <c r="B12" s="23"/>
      <c r="C12" s="23"/>
      <c r="D12" s="23"/>
      <c r="E12" s="23"/>
    </row>
    <row r="13" spans="1:5" ht="21.75" customHeight="1" x14ac:dyDescent="0.3">
      <c r="A13" s="24"/>
      <c r="B13" s="24"/>
      <c r="C13" s="24"/>
      <c r="D13" s="24"/>
      <c r="E13" s="24"/>
    </row>
  </sheetData>
  <mergeCells count="4">
    <mergeCell ref="A1:E1"/>
    <mergeCell ref="A3:C3"/>
    <mergeCell ref="D3:E3"/>
    <mergeCell ref="A4:E4"/>
  </mergeCells>
  <hyperlinks>
    <hyperlink ref="A2" r:id="rId1" location="'MENU%20fr'!B2" xr:uid="{00000000-0004-0000-03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E79"/>
  </sheetPr>
  <dimension ref="A1:H15"/>
  <sheetViews>
    <sheetView showGridLines="0" zoomScaleNormal="100" workbookViewId="0">
      <pane ySplit="5" topLeftCell="A6" activePane="bottomLeft" state="frozen"/>
      <selection pane="bottomLeft" sqref="A1:H1"/>
    </sheetView>
  </sheetViews>
  <sheetFormatPr baseColWidth="10" defaultColWidth="8.6640625" defaultRowHeight="14.4" x14ac:dyDescent="0.3"/>
  <cols>
    <col min="1" max="1" width="5" customWidth="1"/>
    <col min="2" max="2" width="25" customWidth="1"/>
    <col min="3" max="3" width="30" customWidth="1"/>
    <col min="4" max="4" width="20" customWidth="1"/>
    <col min="5" max="7" width="25" customWidth="1"/>
    <col min="8" max="8" width="10" customWidth="1"/>
  </cols>
  <sheetData>
    <row r="1" spans="1:8" ht="36" customHeight="1" x14ac:dyDescent="0.3">
      <c r="A1" s="98" t="s">
        <v>109</v>
      </c>
      <c r="B1" s="98"/>
      <c r="C1" s="98"/>
      <c r="D1" s="98"/>
      <c r="E1" s="98"/>
      <c r="F1" s="98"/>
      <c r="G1" s="98"/>
      <c r="H1" s="98"/>
    </row>
    <row r="2" spans="1:8" ht="15" customHeight="1" x14ac:dyDescent="0.3">
      <c r="A2" s="15" t="s">
        <v>22</v>
      </c>
    </row>
    <row r="3" spans="1:8" ht="15" customHeight="1" x14ac:dyDescent="0.3">
      <c r="A3" s="111" t="s">
        <v>102</v>
      </c>
      <c r="B3" s="111"/>
      <c r="C3" s="111"/>
      <c r="D3" s="112">
        <f>'0. Profil'!C5</f>
        <v>0</v>
      </c>
      <c r="E3" s="112"/>
      <c r="F3" s="112"/>
      <c r="G3" s="112"/>
    </row>
    <row r="4" spans="1:8" ht="15" customHeight="1" x14ac:dyDescent="0.3">
      <c r="A4" s="105" t="s">
        <v>110</v>
      </c>
      <c r="B4" s="105"/>
      <c r="C4" s="105"/>
      <c r="D4" s="105"/>
      <c r="E4" s="105"/>
      <c r="F4" s="105"/>
      <c r="G4" s="105"/>
      <c r="H4" s="105"/>
    </row>
    <row r="5" spans="1:8" ht="31.5" customHeight="1" x14ac:dyDescent="0.3">
      <c r="A5" s="22" t="s">
        <v>111</v>
      </c>
      <c r="B5" s="22" t="s">
        <v>33</v>
      </c>
      <c r="C5" s="22" t="s">
        <v>112</v>
      </c>
      <c r="D5" s="22" t="s">
        <v>113</v>
      </c>
      <c r="E5" s="22" t="s">
        <v>114</v>
      </c>
      <c r="F5" s="22" t="s">
        <v>115</v>
      </c>
      <c r="G5" s="22" t="s">
        <v>116</v>
      </c>
      <c r="H5" s="22" t="s">
        <v>117</v>
      </c>
    </row>
    <row r="6" spans="1:8" ht="21.75" customHeight="1" x14ac:dyDescent="0.3">
      <c r="A6" s="23"/>
      <c r="B6" s="23"/>
      <c r="C6" s="23"/>
      <c r="D6" s="23"/>
      <c r="E6" s="23"/>
      <c r="F6" s="23"/>
      <c r="G6" s="23"/>
      <c r="H6" s="23"/>
    </row>
    <row r="7" spans="1:8" ht="21.75" customHeight="1" x14ac:dyDescent="0.3">
      <c r="A7" s="24"/>
      <c r="B7" s="24"/>
      <c r="C7" s="24"/>
      <c r="D7" s="24"/>
      <c r="E7" s="24"/>
      <c r="F7" s="24"/>
      <c r="G7" s="24"/>
      <c r="H7" s="24"/>
    </row>
    <row r="8" spans="1:8" ht="21.75" customHeight="1" x14ac:dyDescent="0.3">
      <c r="A8" s="23"/>
      <c r="B8" s="23"/>
      <c r="C8" s="23"/>
      <c r="D8" s="23"/>
      <c r="E8" s="23"/>
      <c r="F8" s="23"/>
      <c r="G8" s="23"/>
      <c r="H8" s="23"/>
    </row>
    <row r="9" spans="1:8" ht="21.75" customHeight="1" x14ac:dyDescent="0.3">
      <c r="A9" s="24"/>
      <c r="B9" s="24"/>
      <c r="C9" s="24"/>
      <c r="D9" s="24"/>
      <c r="E9" s="24"/>
      <c r="F9" s="24"/>
      <c r="G9" s="24"/>
      <c r="H9" s="24"/>
    </row>
    <row r="10" spans="1:8" ht="21.75" customHeight="1" x14ac:dyDescent="0.3">
      <c r="A10" s="23"/>
      <c r="B10" s="23"/>
      <c r="C10" s="23"/>
      <c r="D10" s="23"/>
      <c r="E10" s="23"/>
      <c r="F10" s="23"/>
      <c r="G10" s="23"/>
      <c r="H10" s="23"/>
    </row>
    <row r="11" spans="1:8" ht="21.75" customHeight="1" x14ac:dyDescent="0.3">
      <c r="A11" s="24"/>
      <c r="B11" s="24"/>
      <c r="C11" s="24"/>
      <c r="D11" s="24"/>
      <c r="E11" s="24"/>
      <c r="F11" s="24"/>
      <c r="G11" s="24"/>
      <c r="H11" s="24"/>
    </row>
    <row r="12" spans="1:8" ht="21.75" customHeight="1" x14ac:dyDescent="0.3">
      <c r="A12" s="23"/>
      <c r="B12" s="23"/>
      <c r="C12" s="23"/>
      <c r="D12" s="23"/>
      <c r="E12" s="23"/>
      <c r="F12" s="23"/>
      <c r="G12" s="23"/>
      <c r="H12" s="23"/>
    </row>
    <row r="13" spans="1:8" ht="21.75" customHeight="1" x14ac:dyDescent="0.3">
      <c r="A13" s="24"/>
      <c r="B13" s="24"/>
      <c r="C13" s="24"/>
      <c r="D13" s="24"/>
      <c r="E13" s="24"/>
      <c r="F13" s="24"/>
      <c r="G13" s="24"/>
      <c r="H13" s="24"/>
    </row>
    <row r="14" spans="1:8" ht="21.75" customHeight="1" x14ac:dyDescent="0.3">
      <c r="A14" s="23"/>
      <c r="B14" s="23"/>
      <c r="C14" s="23"/>
      <c r="D14" s="23"/>
      <c r="E14" s="23"/>
      <c r="F14" s="23"/>
      <c r="G14" s="23"/>
      <c r="H14" s="23"/>
    </row>
    <row r="15" spans="1:8" ht="21.75" customHeight="1" x14ac:dyDescent="0.3">
      <c r="A15" s="24"/>
      <c r="B15" s="24"/>
      <c r="C15" s="24"/>
      <c r="D15" s="24"/>
      <c r="E15" s="24"/>
      <c r="F15" s="24"/>
      <c r="G15" s="24"/>
      <c r="H15" s="24"/>
    </row>
  </sheetData>
  <mergeCells count="4">
    <mergeCell ref="A1:H1"/>
    <mergeCell ref="A3:C3"/>
    <mergeCell ref="D3:G3"/>
    <mergeCell ref="A4:H4"/>
  </mergeCells>
  <hyperlinks>
    <hyperlink ref="A2" r:id="rId1" location="'MENU%20fr'!B2" xr:uid="{00000000-0004-0000-04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E79"/>
  </sheetPr>
  <dimension ref="A1:E21"/>
  <sheetViews>
    <sheetView showGridLines="0" zoomScaleNormal="100" workbookViewId="0">
      <pane ySplit="5" topLeftCell="A19" activePane="bottomLeft" state="frozen"/>
      <selection pane="bottomLeft" sqref="A1:E1"/>
    </sheetView>
  </sheetViews>
  <sheetFormatPr baseColWidth="10" defaultColWidth="8.6640625" defaultRowHeight="14.4" x14ac:dyDescent="0.3"/>
  <cols>
    <col min="1" max="2" width="35" customWidth="1"/>
    <col min="3" max="4" width="28" customWidth="1"/>
    <col min="5" max="5" width="14" customWidth="1"/>
  </cols>
  <sheetData>
    <row r="1" spans="1:5" ht="36" customHeight="1" x14ac:dyDescent="0.3">
      <c r="A1" s="98" t="s">
        <v>118</v>
      </c>
      <c r="B1" s="98"/>
      <c r="C1" s="98"/>
      <c r="D1" s="98"/>
      <c r="E1" s="98"/>
    </row>
    <row r="2" spans="1:5" ht="15" customHeight="1" x14ac:dyDescent="0.3">
      <c r="A2" s="15" t="s">
        <v>22</v>
      </c>
    </row>
    <row r="3" spans="1:5" ht="15" customHeight="1" x14ac:dyDescent="0.3">
      <c r="A3" s="111" t="s">
        <v>102</v>
      </c>
      <c r="B3" s="111"/>
      <c r="C3" s="111"/>
      <c r="D3" s="112">
        <f>'0. Profil'!C5</f>
        <v>0</v>
      </c>
      <c r="E3" s="112"/>
    </row>
    <row r="4" spans="1:5" ht="15" customHeight="1" x14ac:dyDescent="0.3">
      <c r="A4" s="105" t="s">
        <v>119</v>
      </c>
      <c r="B4" s="105"/>
      <c r="C4" s="105"/>
      <c r="D4" s="105"/>
      <c r="E4" s="105"/>
    </row>
    <row r="5" spans="1:5" ht="39.75" customHeight="1" x14ac:dyDescent="0.3">
      <c r="A5" s="22" t="s">
        <v>120</v>
      </c>
      <c r="B5" s="22" t="s">
        <v>121</v>
      </c>
      <c r="C5" s="22" t="s">
        <v>122</v>
      </c>
      <c r="D5" s="22" t="s">
        <v>123</v>
      </c>
      <c r="E5" s="22" t="s">
        <v>124</v>
      </c>
    </row>
    <row r="6" spans="1:5" ht="27.75" customHeight="1" x14ac:dyDescent="0.3">
      <c r="A6" s="113" t="s">
        <v>125</v>
      </c>
      <c r="B6" s="23"/>
      <c r="C6" s="23"/>
      <c r="D6" s="23"/>
      <c r="E6" s="23"/>
    </row>
    <row r="7" spans="1:5" ht="27.75" customHeight="1" x14ac:dyDescent="0.3">
      <c r="A7" s="113"/>
      <c r="B7" s="24"/>
      <c r="C7" s="24"/>
      <c r="D7" s="24"/>
      <c r="E7" s="24"/>
    </row>
    <row r="8" spans="1:5" ht="27.75" customHeight="1" x14ac:dyDescent="0.3">
      <c r="A8" s="113"/>
      <c r="B8" s="23"/>
      <c r="C8" s="23"/>
      <c r="D8" s="23"/>
      <c r="E8" s="23"/>
    </row>
    <row r="9" spans="1:5" ht="4.5" customHeight="1" x14ac:dyDescent="0.3">
      <c r="A9" s="14"/>
      <c r="B9" s="14"/>
      <c r="C9" s="14"/>
      <c r="D9" s="14"/>
      <c r="E9" s="14"/>
    </row>
    <row r="10" spans="1:5" ht="27.75" customHeight="1" x14ac:dyDescent="0.3">
      <c r="A10" s="114" t="s">
        <v>126</v>
      </c>
      <c r="B10" s="23"/>
      <c r="C10" s="23"/>
      <c r="D10" s="23"/>
      <c r="E10" s="23"/>
    </row>
    <row r="11" spans="1:5" ht="27.75" customHeight="1" x14ac:dyDescent="0.3">
      <c r="A11" s="114"/>
      <c r="B11" s="24"/>
      <c r="C11" s="24"/>
      <c r="D11" s="24"/>
      <c r="E11" s="24"/>
    </row>
    <row r="12" spans="1:5" ht="27.75" customHeight="1" x14ac:dyDescent="0.3">
      <c r="A12" s="114"/>
      <c r="B12" s="23"/>
      <c r="C12" s="23"/>
      <c r="D12" s="23"/>
      <c r="E12" s="23"/>
    </row>
    <row r="13" spans="1:5" ht="4.5" customHeight="1" x14ac:dyDescent="0.3">
      <c r="A13" s="14"/>
      <c r="B13" s="14"/>
      <c r="C13" s="14"/>
      <c r="D13" s="14"/>
      <c r="E13" s="14"/>
    </row>
    <row r="14" spans="1:5" ht="27.75" customHeight="1" x14ac:dyDescent="0.3">
      <c r="A14" s="115" t="s">
        <v>127</v>
      </c>
      <c r="B14" s="23"/>
      <c r="C14" s="23"/>
      <c r="D14" s="23"/>
      <c r="E14" s="23"/>
    </row>
    <row r="15" spans="1:5" ht="27.75" customHeight="1" x14ac:dyDescent="0.3">
      <c r="A15" s="115"/>
      <c r="B15" s="24"/>
      <c r="C15" s="24"/>
      <c r="D15" s="24"/>
      <c r="E15" s="24"/>
    </row>
    <row r="16" spans="1:5" ht="27.75" customHeight="1" x14ac:dyDescent="0.3">
      <c r="A16" s="115"/>
      <c r="B16" s="23"/>
      <c r="C16" s="23"/>
      <c r="D16" s="23"/>
      <c r="E16" s="23"/>
    </row>
    <row r="17" spans="1:5" ht="4.5" customHeight="1" x14ac:dyDescent="0.3">
      <c r="A17" s="14"/>
      <c r="B17" s="14"/>
      <c r="C17" s="14"/>
      <c r="D17" s="14"/>
      <c r="E17" s="14"/>
    </row>
    <row r="18" spans="1:5" ht="27.75" customHeight="1" x14ac:dyDescent="0.3">
      <c r="A18" s="116" t="s">
        <v>128</v>
      </c>
      <c r="B18" s="23"/>
      <c r="C18" s="23"/>
      <c r="D18" s="23"/>
      <c r="E18" s="23"/>
    </row>
    <row r="19" spans="1:5" ht="27.75" customHeight="1" x14ac:dyDescent="0.3">
      <c r="A19" s="116"/>
      <c r="B19" s="24"/>
      <c r="C19" s="24"/>
      <c r="D19" s="24"/>
      <c r="E19" s="24"/>
    </row>
    <row r="20" spans="1:5" ht="27.75" customHeight="1" x14ac:dyDescent="0.3">
      <c r="A20" s="116"/>
      <c r="B20" s="23"/>
      <c r="C20" s="23"/>
      <c r="D20" s="23"/>
      <c r="E20" s="23"/>
    </row>
    <row r="21" spans="1:5" ht="4.5" customHeight="1" x14ac:dyDescent="0.3">
      <c r="A21" s="14"/>
      <c r="B21" s="14"/>
      <c r="C21" s="14"/>
      <c r="D21" s="14"/>
      <c r="E21" s="14"/>
    </row>
  </sheetData>
  <mergeCells count="8">
    <mergeCell ref="A10:A12"/>
    <mergeCell ref="A14:A16"/>
    <mergeCell ref="A18:A20"/>
    <mergeCell ref="A1:E1"/>
    <mergeCell ref="A3:C3"/>
    <mergeCell ref="D3:E3"/>
    <mergeCell ref="A4:E4"/>
    <mergeCell ref="A6:A8"/>
  </mergeCells>
  <hyperlinks>
    <hyperlink ref="A2" r:id="rId1" location="'MENU%20fr'!B2" xr:uid="{00000000-0004-0000-05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E79"/>
  </sheetPr>
  <dimension ref="A1:D17"/>
  <sheetViews>
    <sheetView showGridLines="0" zoomScaleNormal="100" workbookViewId="0">
      <pane ySplit="5" topLeftCell="A6" activePane="bottomLeft" state="frozen"/>
      <selection pane="bottomLeft" sqref="A1:D1"/>
    </sheetView>
  </sheetViews>
  <sheetFormatPr baseColWidth="10" defaultColWidth="8.6640625" defaultRowHeight="14.4" x14ac:dyDescent="0.3"/>
  <cols>
    <col min="1" max="1" width="22" customWidth="1"/>
    <col min="2" max="2" width="25" customWidth="1"/>
    <col min="3" max="3" width="45" customWidth="1"/>
    <col min="4" max="4" width="35" customWidth="1"/>
  </cols>
  <sheetData>
    <row r="1" spans="1:4" ht="36" customHeight="1" x14ac:dyDescent="0.3">
      <c r="A1" s="98" t="s">
        <v>129</v>
      </c>
      <c r="B1" s="98"/>
      <c r="C1" s="98"/>
      <c r="D1" s="98"/>
    </row>
    <row r="2" spans="1:4" ht="15" customHeight="1" x14ac:dyDescent="0.3">
      <c r="A2" s="15" t="s">
        <v>22</v>
      </c>
    </row>
    <row r="3" spans="1:4" ht="15" customHeight="1" x14ac:dyDescent="0.3">
      <c r="A3" s="111" t="s">
        <v>102</v>
      </c>
      <c r="B3" s="111"/>
      <c r="C3" s="111"/>
      <c r="D3" s="25">
        <f>'0. Profil'!C5</f>
        <v>0</v>
      </c>
    </row>
    <row r="4" spans="1:4" ht="15" customHeight="1" x14ac:dyDescent="0.3">
      <c r="A4" s="105" t="s">
        <v>130</v>
      </c>
      <c r="B4" s="105"/>
      <c r="C4" s="105"/>
      <c r="D4" s="105"/>
    </row>
    <row r="5" spans="1:4" ht="31.5" customHeight="1" x14ac:dyDescent="0.3">
      <c r="A5" s="22" t="s">
        <v>131</v>
      </c>
      <c r="B5" s="22" t="s">
        <v>33</v>
      </c>
      <c r="C5" s="22" t="s">
        <v>132</v>
      </c>
      <c r="D5" s="22" t="s">
        <v>133</v>
      </c>
    </row>
    <row r="6" spans="1:4" ht="21.75" customHeight="1" x14ac:dyDescent="0.3">
      <c r="A6" s="23"/>
      <c r="B6" s="23"/>
      <c r="C6" s="23"/>
      <c r="D6" s="23"/>
    </row>
    <row r="7" spans="1:4" ht="21.75" customHeight="1" x14ac:dyDescent="0.3">
      <c r="A7" s="24"/>
      <c r="B7" s="24"/>
      <c r="C7" s="24"/>
      <c r="D7" s="24"/>
    </row>
    <row r="8" spans="1:4" ht="21.75" customHeight="1" x14ac:dyDescent="0.3">
      <c r="A8" s="23"/>
      <c r="B8" s="23"/>
      <c r="C8" s="23"/>
      <c r="D8" s="23"/>
    </row>
    <row r="9" spans="1:4" ht="21.75" customHeight="1" x14ac:dyDescent="0.3">
      <c r="A9" s="24"/>
      <c r="B9" s="24"/>
      <c r="C9" s="24"/>
      <c r="D9" s="24"/>
    </row>
    <row r="10" spans="1:4" ht="21.75" customHeight="1" x14ac:dyDescent="0.3">
      <c r="A10" s="23"/>
      <c r="B10" s="23"/>
      <c r="C10" s="23"/>
      <c r="D10" s="23"/>
    </row>
    <row r="11" spans="1:4" ht="21.75" customHeight="1" x14ac:dyDescent="0.3">
      <c r="A11" s="24"/>
      <c r="B11" s="24"/>
      <c r="C11" s="24"/>
      <c r="D11" s="24"/>
    </row>
    <row r="12" spans="1:4" ht="21.75" customHeight="1" x14ac:dyDescent="0.3">
      <c r="A12" s="23"/>
      <c r="B12" s="23"/>
      <c r="C12" s="23"/>
      <c r="D12" s="23"/>
    </row>
    <row r="13" spans="1:4" ht="21.75" customHeight="1" x14ac:dyDescent="0.3">
      <c r="A13" s="24"/>
      <c r="B13" s="24"/>
      <c r="C13" s="24"/>
      <c r="D13" s="24"/>
    </row>
    <row r="14" spans="1:4" ht="21.75" customHeight="1" x14ac:dyDescent="0.3">
      <c r="A14" s="23"/>
      <c r="B14" s="23"/>
      <c r="C14" s="23"/>
      <c r="D14" s="23"/>
    </row>
    <row r="15" spans="1:4" ht="21.75" customHeight="1" x14ac:dyDescent="0.3">
      <c r="A15" s="24"/>
      <c r="B15" s="24"/>
      <c r="C15" s="24"/>
      <c r="D15" s="24"/>
    </row>
    <row r="16" spans="1:4" ht="21.75" customHeight="1" x14ac:dyDescent="0.3">
      <c r="A16" s="23"/>
      <c r="B16" s="23"/>
      <c r="C16" s="23"/>
      <c r="D16" s="23"/>
    </row>
    <row r="17" spans="1:4" ht="21.75" customHeight="1" x14ac:dyDescent="0.3">
      <c r="A17" s="24"/>
      <c r="B17" s="24"/>
      <c r="C17" s="24"/>
      <c r="D17" s="24"/>
    </row>
  </sheetData>
  <mergeCells count="3">
    <mergeCell ref="A1:D1"/>
    <mergeCell ref="A3:C3"/>
    <mergeCell ref="A4:D4"/>
  </mergeCells>
  <hyperlinks>
    <hyperlink ref="A2" r:id="rId1" location="'MENU%20fr'!B2" xr:uid="{00000000-0004-0000-06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B0000"/>
  </sheetPr>
  <dimension ref="A1:N34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K1"/>
    </sheetView>
  </sheetViews>
  <sheetFormatPr baseColWidth="10" defaultColWidth="8.6640625" defaultRowHeight="14.4" x14ac:dyDescent="0.3"/>
  <cols>
    <col min="1" max="1" width="5" customWidth="1"/>
    <col min="2" max="2" width="35" customWidth="1"/>
    <col min="3" max="3" width="14" customWidth="1"/>
    <col min="4" max="4" width="12" customWidth="1"/>
    <col min="5" max="6" width="10" customWidth="1"/>
    <col min="7" max="7" width="12" customWidth="1"/>
    <col min="8" max="8" width="30" customWidth="1"/>
    <col min="9" max="9" width="16" customWidth="1"/>
    <col min="10" max="11" width="12" customWidth="1"/>
    <col min="13" max="13" width="20" customWidth="1"/>
    <col min="14" max="14" width="14" customWidth="1"/>
  </cols>
  <sheetData>
    <row r="1" spans="1:11" ht="36" customHeight="1" x14ac:dyDescent="0.3">
      <c r="A1" s="98" t="s">
        <v>134</v>
      </c>
      <c r="B1" s="98"/>
      <c r="C1" s="98"/>
      <c r="D1" s="98"/>
      <c r="E1" s="98"/>
      <c r="F1" s="98"/>
      <c r="G1" s="98"/>
      <c r="H1" s="98"/>
      <c r="I1" s="98"/>
      <c r="J1" s="98"/>
      <c r="K1" s="98"/>
    </row>
    <row r="2" spans="1:11" ht="15" customHeight="1" x14ac:dyDescent="0.3">
      <c r="A2" s="15" t="s">
        <v>22</v>
      </c>
    </row>
    <row r="3" spans="1:11" ht="15" customHeight="1" x14ac:dyDescent="0.3">
      <c r="A3" s="117" t="s">
        <v>102</v>
      </c>
      <c r="B3" s="117"/>
      <c r="C3" s="117"/>
      <c r="D3" s="118">
        <f>'0. Profil'!C5</f>
        <v>0</v>
      </c>
      <c r="E3" s="118"/>
      <c r="F3" s="118"/>
    </row>
    <row r="5" spans="1:11" ht="15" customHeight="1" x14ac:dyDescent="0.3">
      <c r="A5" s="105" t="s">
        <v>135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</row>
    <row r="6" spans="1:11" ht="36" customHeight="1" x14ac:dyDescent="0.3">
      <c r="A6" s="22" t="s">
        <v>136</v>
      </c>
      <c r="B6" s="22" t="s">
        <v>137</v>
      </c>
      <c r="C6" s="22" t="s">
        <v>138</v>
      </c>
      <c r="D6" s="22" t="s">
        <v>139</v>
      </c>
      <c r="E6" s="22" t="s">
        <v>140</v>
      </c>
      <c r="F6" s="22" t="s">
        <v>141</v>
      </c>
      <c r="G6" s="22" t="s">
        <v>124</v>
      </c>
      <c r="H6" s="22" t="s">
        <v>142</v>
      </c>
      <c r="I6" s="22" t="s">
        <v>143</v>
      </c>
      <c r="J6" s="22" t="s">
        <v>144</v>
      </c>
      <c r="K6" s="22" t="s">
        <v>145</v>
      </c>
    </row>
    <row r="7" spans="1:11" ht="21.75" customHeight="1" x14ac:dyDescent="0.3">
      <c r="A7" s="26">
        <v>1</v>
      </c>
      <c r="B7" s="23" t="s">
        <v>146</v>
      </c>
      <c r="C7" s="27" t="s">
        <v>147</v>
      </c>
      <c r="D7" s="28">
        <v>4</v>
      </c>
      <c r="E7" s="28">
        <v>5</v>
      </c>
      <c r="F7" s="29">
        <f t="shared" ref="F7:F16" si="0">IFERROR(IF(AND(D7&lt;&gt;"",E7&lt;&gt;""),D7*E7,""),"")</f>
        <v>20</v>
      </c>
      <c r="G7" s="30" t="str">
        <f t="shared" ref="G7:G16" si="1">IFERROR(IF(F7="","",IF(F7&gt;=16,"🔴 CRITIQUE",IF(F7&gt;=9,"🟠 ÉLEVÉ",IF(F7&gt;=4,"🟡 MODÉRÉ","🟢 FAIBLE")))),"" )</f>
        <v>🔴 CRITIQUE</v>
      </c>
      <c r="H7" s="23"/>
      <c r="I7" s="23"/>
      <c r="J7" s="27"/>
      <c r="K7" s="27"/>
    </row>
    <row r="8" spans="1:11" ht="21.75" customHeight="1" x14ac:dyDescent="0.3">
      <c r="A8" s="31">
        <v>2</v>
      </c>
      <c r="B8" s="24" t="s">
        <v>148</v>
      </c>
      <c r="C8" s="32" t="s">
        <v>149</v>
      </c>
      <c r="D8" s="33">
        <v>3</v>
      </c>
      <c r="E8" s="33">
        <v>4</v>
      </c>
      <c r="F8" s="34">
        <f t="shared" si="0"/>
        <v>12</v>
      </c>
      <c r="G8" s="35" t="str">
        <f t="shared" si="1"/>
        <v>🟠 ÉLEVÉ</v>
      </c>
      <c r="H8" s="24"/>
      <c r="I8" s="24"/>
      <c r="J8" s="32"/>
      <c r="K8" s="32"/>
    </row>
    <row r="9" spans="1:11" ht="21.75" customHeight="1" x14ac:dyDescent="0.3">
      <c r="A9" s="26">
        <v>3</v>
      </c>
      <c r="B9" s="23" t="s">
        <v>150</v>
      </c>
      <c r="C9" s="27" t="s">
        <v>151</v>
      </c>
      <c r="D9" s="28">
        <v>3</v>
      </c>
      <c r="E9" s="28">
        <v>3</v>
      </c>
      <c r="F9" s="29">
        <f t="shared" si="0"/>
        <v>9</v>
      </c>
      <c r="G9" s="30" t="str">
        <f t="shared" si="1"/>
        <v>🟠 ÉLEVÉ</v>
      </c>
      <c r="H9" s="23"/>
      <c r="I9" s="23"/>
      <c r="J9" s="27"/>
      <c r="K9" s="27"/>
    </row>
    <row r="10" spans="1:11" ht="21.75" customHeight="1" x14ac:dyDescent="0.3">
      <c r="A10" s="31">
        <v>4</v>
      </c>
      <c r="B10" s="24" t="s">
        <v>152</v>
      </c>
      <c r="C10" s="32" t="s">
        <v>153</v>
      </c>
      <c r="D10" s="33">
        <v>2</v>
      </c>
      <c r="E10" s="33">
        <v>4</v>
      </c>
      <c r="F10" s="34">
        <f t="shared" si="0"/>
        <v>8</v>
      </c>
      <c r="G10" s="35" t="str">
        <f t="shared" si="1"/>
        <v>🟡 MODÉRÉ</v>
      </c>
      <c r="H10" s="24"/>
      <c r="I10" s="24"/>
      <c r="J10" s="32"/>
      <c r="K10" s="32"/>
    </row>
    <row r="11" spans="1:11" ht="21.75" customHeight="1" x14ac:dyDescent="0.3">
      <c r="A11" s="26">
        <v>5</v>
      </c>
      <c r="B11" s="23" t="s">
        <v>154</v>
      </c>
      <c r="C11" s="27" t="s">
        <v>155</v>
      </c>
      <c r="D11" s="28">
        <v>2</v>
      </c>
      <c r="E11" s="28">
        <v>3</v>
      </c>
      <c r="F11" s="29">
        <f t="shared" si="0"/>
        <v>6</v>
      </c>
      <c r="G11" s="30" t="str">
        <f t="shared" si="1"/>
        <v>🟡 MODÉRÉ</v>
      </c>
      <c r="H11" s="23"/>
      <c r="I11" s="23"/>
      <c r="J11" s="27"/>
      <c r="K11" s="27"/>
    </row>
    <row r="12" spans="1:11" ht="21.75" customHeight="1" x14ac:dyDescent="0.3">
      <c r="A12" s="31">
        <v>6</v>
      </c>
      <c r="B12" s="24" t="s">
        <v>156</v>
      </c>
      <c r="C12" s="32" t="s">
        <v>157</v>
      </c>
      <c r="D12" s="33">
        <v>2</v>
      </c>
      <c r="E12" s="33">
        <v>2</v>
      </c>
      <c r="F12" s="34">
        <f t="shared" si="0"/>
        <v>4</v>
      </c>
      <c r="G12" s="35" t="str">
        <f t="shared" si="1"/>
        <v>🟡 MODÉRÉ</v>
      </c>
      <c r="H12" s="24"/>
      <c r="I12" s="24"/>
      <c r="J12" s="32"/>
      <c r="K12" s="32"/>
    </row>
    <row r="13" spans="1:11" ht="21.75" customHeight="1" x14ac:dyDescent="0.3">
      <c r="A13" s="26">
        <v>7</v>
      </c>
      <c r="B13" s="23" t="s">
        <v>158</v>
      </c>
      <c r="C13" s="27" t="s">
        <v>149</v>
      </c>
      <c r="D13" s="28">
        <v>3</v>
      </c>
      <c r="E13" s="28">
        <v>3</v>
      </c>
      <c r="F13" s="29">
        <f t="shared" si="0"/>
        <v>9</v>
      </c>
      <c r="G13" s="30" t="str">
        <f t="shared" si="1"/>
        <v>🟠 ÉLEVÉ</v>
      </c>
      <c r="H13" s="23"/>
      <c r="I13" s="23"/>
      <c r="J13" s="27"/>
      <c r="K13" s="27"/>
    </row>
    <row r="14" spans="1:11" ht="21.75" customHeight="1" x14ac:dyDescent="0.3">
      <c r="A14" s="31">
        <v>8</v>
      </c>
      <c r="B14" s="24" t="s">
        <v>159</v>
      </c>
      <c r="C14" s="32" t="s">
        <v>151</v>
      </c>
      <c r="D14" s="33">
        <v>4</v>
      </c>
      <c r="E14" s="33">
        <v>3</v>
      </c>
      <c r="F14" s="34">
        <f t="shared" si="0"/>
        <v>12</v>
      </c>
      <c r="G14" s="35" t="str">
        <f t="shared" si="1"/>
        <v>🟠 ÉLEVÉ</v>
      </c>
      <c r="H14" s="24"/>
      <c r="I14" s="24"/>
      <c r="J14" s="32"/>
      <c r="K14" s="32"/>
    </row>
    <row r="15" spans="1:11" ht="21.75" customHeight="1" x14ac:dyDescent="0.3">
      <c r="A15" s="26">
        <v>9</v>
      </c>
      <c r="B15" s="23" t="s">
        <v>160</v>
      </c>
      <c r="C15" s="27" t="s">
        <v>147</v>
      </c>
      <c r="D15" s="28">
        <v>3</v>
      </c>
      <c r="E15" s="28">
        <v>4</v>
      </c>
      <c r="F15" s="29">
        <f t="shared" si="0"/>
        <v>12</v>
      </c>
      <c r="G15" s="30" t="str">
        <f t="shared" si="1"/>
        <v>🟠 ÉLEVÉ</v>
      </c>
      <c r="H15" s="23"/>
      <c r="I15" s="23"/>
      <c r="J15" s="27"/>
      <c r="K15" s="27"/>
    </row>
    <row r="16" spans="1:11" ht="21.75" customHeight="1" x14ac:dyDescent="0.3">
      <c r="A16" s="31">
        <v>10</v>
      </c>
      <c r="B16" s="24" t="s">
        <v>161</v>
      </c>
      <c r="C16" s="32" t="s">
        <v>162</v>
      </c>
      <c r="D16" s="33">
        <v>2</v>
      </c>
      <c r="E16" s="33">
        <v>5</v>
      </c>
      <c r="F16" s="34">
        <f t="shared" si="0"/>
        <v>10</v>
      </c>
      <c r="G16" s="35" t="str">
        <f t="shared" si="1"/>
        <v>🟠 ÉLEVÉ</v>
      </c>
      <c r="H16" s="24"/>
      <c r="I16" s="24"/>
      <c r="J16" s="32"/>
      <c r="K16" s="32"/>
    </row>
    <row r="18" spans="1:14" ht="15" customHeight="1" x14ac:dyDescent="0.3">
      <c r="A18" s="119" t="s">
        <v>163</v>
      </c>
      <c r="B18" s="119"/>
      <c r="C18" s="119"/>
      <c r="D18" s="119"/>
      <c r="E18" s="119"/>
      <c r="F18" s="119"/>
      <c r="G18" s="119"/>
      <c r="H18" s="119"/>
      <c r="I18" s="119"/>
      <c r="J18" s="119"/>
      <c r="K18" s="119"/>
    </row>
    <row r="19" spans="1:14" ht="19.5" customHeight="1" x14ac:dyDescent="0.3">
      <c r="A19" s="120" t="s">
        <v>164</v>
      </c>
      <c r="B19" s="120"/>
      <c r="C19" s="120"/>
      <c r="D19" s="120"/>
      <c r="E19" s="120"/>
      <c r="F19" s="120"/>
      <c r="G19" s="120"/>
      <c r="H19" s="121">
        <f>COUNTIF(F7:F16,"&gt;=16")</f>
        <v>1</v>
      </c>
      <c r="I19" s="121"/>
      <c r="J19" s="121"/>
      <c r="K19" s="121"/>
    </row>
    <row r="20" spans="1:14" ht="19.5" customHeight="1" x14ac:dyDescent="0.3">
      <c r="A20" s="122" t="s">
        <v>165</v>
      </c>
      <c r="B20" s="122"/>
      <c r="C20" s="122"/>
      <c r="D20" s="122"/>
      <c r="E20" s="122"/>
      <c r="F20" s="122"/>
      <c r="G20" s="122"/>
      <c r="H20" s="121">
        <f>COUNTIFS(F7:F16,"&gt;=9",F7:F16,"&lt;16")</f>
        <v>6</v>
      </c>
      <c r="I20" s="121"/>
      <c r="J20" s="121"/>
      <c r="K20" s="121"/>
    </row>
    <row r="21" spans="1:14" ht="19.5" customHeight="1" x14ac:dyDescent="0.3">
      <c r="A21" s="120" t="s">
        <v>166</v>
      </c>
      <c r="B21" s="120"/>
      <c r="C21" s="120"/>
      <c r="D21" s="120"/>
      <c r="E21" s="120"/>
      <c r="F21" s="120"/>
      <c r="G21" s="120"/>
      <c r="H21" s="121">
        <f>COUNTIFS(F7:F16,"&gt;=4",F7:F16,"&lt;9")</f>
        <v>3</v>
      </c>
      <c r="I21" s="121"/>
      <c r="J21" s="121"/>
      <c r="K21" s="121"/>
    </row>
    <row r="22" spans="1:14" ht="19.5" customHeight="1" x14ac:dyDescent="0.3">
      <c r="A22" s="122" t="s">
        <v>167</v>
      </c>
      <c r="B22" s="122"/>
      <c r="C22" s="122"/>
      <c r="D22" s="122"/>
      <c r="E22" s="122"/>
      <c r="F22" s="122"/>
      <c r="G22" s="122"/>
      <c r="H22" s="121">
        <f>COUNTIF(F7:F16,"&lt;4")</f>
        <v>0</v>
      </c>
      <c r="I22" s="121"/>
      <c r="J22" s="121"/>
      <c r="K22" s="121"/>
    </row>
    <row r="23" spans="1:14" ht="19.5" customHeight="1" x14ac:dyDescent="0.3">
      <c r="A23" s="120" t="s">
        <v>168</v>
      </c>
      <c r="B23" s="120"/>
      <c r="C23" s="120"/>
      <c r="D23" s="120"/>
      <c r="E23" s="120"/>
      <c r="F23" s="120"/>
      <c r="G23" s="120"/>
      <c r="H23" s="121">
        <f>IFERROR(AVERAGEIF(F7:F16,"&lt;&gt;"),0)</f>
        <v>10.199999999999999</v>
      </c>
      <c r="I23" s="121"/>
      <c r="J23" s="121"/>
      <c r="K23" s="121"/>
    </row>
    <row r="24" spans="1:14" ht="19.5" customHeight="1" x14ac:dyDescent="0.3">
      <c r="A24" s="122" t="s">
        <v>169</v>
      </c>
      <c r="B24" s="122"/>
      <c r="C24" s="122"/>
      <c r="D24" s="122"/>
      <c r="E24" s="122"/>
      <c r="F24" s="122"/>
      <c r="G24" s="122"/>
      <c r="H24" s="121" t="str">
        <f>IFERROR(INDEX(B7:B16,MATCH(MAX(F7:F16),F7:F16,0)),"—")</f>
        <v>Dépassement budget composante 1</v>
      </c>
      <c r="I24" s="121"/>
      <c r="J24" s="121"/>
      <c r="K24" s="121"/>
    </row>
    <row r="26" spans="1:14" x14ac:dyDescent="0.3">
      <c r="M26" s="123" t="s">
        <v>170</v>
      </c>
      <c r="N26" s="123"/>
    </row>
    <row r="27" spans="1:14" x14ac:dyDescent="0.3">
      <c r="M27" s="36" t="s">
        <v>171</v>
      </c>
      <c r="N27" s="36" t="s">
        <v>172</v>
      </c>
    </row>
    <row r="28" spans="1:14" x14ac:dyDescent="0.3">
      <c r="M28" s="37" t="s">
        <v>147</v>
      </c>
      <c r="N28" s="38">
        <f t="shared" ref="N28:N34" si="2">IFERROR(AVERAGEIFS($F$7:$F$16,$C$7:$C$16,M28),0)</f>
        <v>16</v>
      </c>
    </row>
    <row r="29" spans="1:14" x14ac:dyDescent="0.3">
      <c r="M29" s="39" t="s">
        <v>149</v>
      </c>
      <c r="N29" s="40">
        <f t="shared" si="2"/>
        <v>10.5</v>
      </c>
    </row>
    <row r="30" spans="1:14" x14ac:dyDescent="0.3">
      <c r="M30" s="37" t="s">
        <v>151</v>
      </c>
      <c r="N30" s="38">
        <f t="shared" si="2"/>
        <v>10.5</v>
      </c>
    </row>
    <row r="31" spans="1:14" x14ac:dyDescent="0.3">
      <c r="M31" s="39" t="s">
        <v>153</v>
      </c>
      <c r="N31" s="40">
        <f t="shared" si="2"/>
        <v>8</v>
      </c>
    </row>
    <row r="32" spans="1:14" x14ac:dyDescent="0.3">
      <c r="M32" s="37" t="s">
        <v>155</v>
      </c>
      <c r="N32" s="38">
        <f t="shared" si="2"/>
        <v>6</v>
      </c>
    </row>
    <row r="33" spans="13:14" x14ac:dyDescent="0.3">
      <c r="M33" s="39" t="s">
        <v>157</v>
      </c>
      <c r="N33" s="40">
        <f t="shared" si="2"/>
        <v>4</v>
      </c>
    </row>
    <row r="34" spans="13:14" x14ac:dyDescent="0.3">
      <c r="M34" s="37" t="s">
        <v>162</v>
      </c>
      <c r="N34" s="38">
        <f t="shared" si="2"/>
        <v>10</v>
      </c>
    </row>
  </sheetData>
  <mergeCells count="18">
    <mergeCell ref="M26:N26"/>
    <mergeCell ref="A22:G22"/>
    <mergeCell ref="H22:K22"/>
    <mergeCell ref="A23:G23"/>
    <mergeCell ref="H23:K23"/>
    <mergeCell ref="A24:G24"/>
    <mergeCell ref="H24:K24"/>
    <mergeCell ref="A19:G19"/>
    <mergeCell ref="H19:K19"/>
    <mergeCell ref="A20:G20"/>
    <mergeCell ref="H20:K20"/>
    <mergeCell ref="A21:G21"/>
    <mergeCell ref="H21:K21"/>
    <mergeCell ref="A1:K1"/>
    <mergeCell ref="A3:C3"/>
    <mergeCell ref="D3:F3"/>
    <mergeCell ref="A5:K5"/>
    <mergeCell ref="A18:K18"/>
  </mergeCells>
  <conditionalFormatting sqref="F7:F16">
    <cfRule type="cellIs" dxfId="20" priority="2" operator="greaterThanOrEqual">
      <formula>16</formula>
    </cfRule>
    <cfRule type="cellIs" dxfId="19" priority="3" operator="between">
      <formula>9</formula>
      <formula>15</formula>
    </cfRule>
    <cfRule type="cellIs" dxfId="18" priority="4" operator="between">
      <formula>4</formula>
      <formula>8</formula>
    </cfRule>
    <cfRule type="cellIs" dxfId="17" priority="5" operator="lessThan">
      <formula>4</formula>
    </cfRule>
  </conditionalFormatting>
  <dataValidations count="4">
    <dataValidation type="list" allowBlank="1" errorTitle="Probabilité invalide" error="Valeur de 1 (très faible) à 5 (très élevé)" sqref="D7:E16" xr:uid="{00000000-0002-0000-0700-000000000000}">
      <formula1>"1,2,3,4,5"</formula1>
      <formula2>0</formula2>
    </dataValidation>
    <dataValidation type="list" allowBlank="1" sqref="C7:C16" xr:uid="{00000000-0002-0000-0700-000001000000}">
      <formula1>"Financier,Technique,Organisationnel,Environnemental,Politique,Social,Autre"</formula1>
      <formula2>0</formula2>
    </dataValidation>
    <dataValidation type="list" allowBlank="1" sqref="H7:H16" xr:uid="{00000000-0002-0000-0700-000002000000}">
      <formula1>"Éviter,Atténuer,Transférer,Accepter"</formula1>
      <formula2>0</formula2>
    </dataValidation>
    <dataValidation type="list" allowBlank="1" sqref="K7:K16" xr:uid="{00000000-0002-0000-0700-000003000000}">
      <formula1>"Ouvert,En cours,Résolu,Surveillance"</formula1>
      <formula2>0</formula2>
    </dataValidation>
  </dataValidations>
  <hyperlinks>
    <hyperlink ref="A2" r:id="rId1" location="'MENU%20fr'!B2" xr:uid="{00000000-0004-0000-07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7406A"/>
  </sheetPr>
  <dimension ref="A1:Q26"/>
  <sheetViews>
    <sheetView showGridLines="0" zoomScaleNormal="100" workbookViewId="0">
      <pane xSplit="1" ySplit="6" topLeftCell="I7" activePane="bottomRight" state="frozen"/>
      <selection pane="topRight" activeCell="B1" sqref="B1"/>
      <selection pane="bottomLeft" activeCell="A7" sqref="A7"/>
      <selection pane="bottomRight" activeCell="G17" sqref="G17"/>
    </sheetView>
  </sheetViews>
  <sheetFormatPr baseColWidth="10" defaultColWidth="8.6640625" defaultRowHeight="14.4" x14ac:dyDescent="0.3"/>
  <cols>
    <col min="1" max="1" width="14" customWidth="1"/>
    <col min="2" max="2" width="28" customWidth="1"/>
    <col min="3" max="10" width="7" customWidth="1"/>
    <col min="11" max="11" width="10" customWidth="1"/>
    <col min="12" max="13" width="8" customWidth="1"/>
    <col min="15" max="15" width="22" customWidth="1"/>
    <col min="16" max="16" width="10" customWidth="1"/>
    <col min="17" max="17" width="7" customWidth="1"/>
  </cols>
  <sheetData>
    <row r="1" spans="1:17" ht="36" customHeight="1" x14ac:dyDescent="0.3">
      <c r="A1" s="98" t="s">
        <v>173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</row>
    <row r="2" spans="1:17" ht="15" customHeight="1" x14ac:dyDescent="0.3">
      <c r="A2" s="15" t="s">
        <v>22</v>
      </c>
    </row>
    <row r="3" spans="1:17" ht="15" customHeight="1" x14ac:dyDescent="0.3">
      <c r="A3" s="111" t="s">
        <v>102</v>
      </c>
      <c r="B3" s="111"/>
      <c r="C3" s="111"/>
      <c r="D3" s="112">
        <f>'0. Profil'!C5</f>
        <v>0</v>
      </c>
      <c r="E3" s="112"/>
      <c r="F3" s="112"/>
    </row>
    <row r="4" spans="1:17" ht="15" customHeight="1" x14ac:dyDescent="0.3">
      <c r="A4" s="105" t="s">
        <v>174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</row>
    <row r="5" spans="1:17" ht="31.5" customHeight="1" x14ac:dyDescent="0.3">
      <c r="A5" s="22" t="s">
        <v>171</v>
      </c>
      <c r="B5" s="22" t="s">
        <v>175</v>
      </c>
      <c r="C5" s="22" t="s">
        <v>176</v>
      </c>
      <c r="D5" s="22" t="s">
        <v>177</v>
      </c>
      <c r="E5" s="22" t="s">
        <v>178</v>
      </c>
      <c r="F5" s="22" t="s">
        <v>179</v>
      </c>
      <c r="G5" s="22" t="s">
        <v>180</v>
      </c>
      <c r="H5" s="22" t="s">
        <v>181</v>
      </c>
      <c r="I5" s="22" t="s">
        <v>182</v>
      </c>
      <c r="J5" s="22" t="s">
        <v>176</v>
      </c>
      <c r="K5" s="22" t="s">
        <v>183</v>
      </c>
      <c r="L5" s="22" t="s">
        <v>184</v>
      </c>
      <c r="M5" s="22" t="s">
        <v>185</v>
      </c>
      <c r="O5" s="123" t="s">
        <v>186</v>
      </c>
      <c r="P5" s="123"/>
      <c r="Q5" s="124" t="s">
        <v>187</v>
      </c>
    </row>
    <row r="6" spans="1:17" ht="15.75" customHeight="1" x14ac:dyDescent="0.3">
      <c r="A6" s="125" t="s">
        <v>188</v>
      </c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O6" s="41" t="s">
        <v>189</v>
      </c>
      <c r="P6" s="36" t="s">
        <v>190</v>
      </c>
      <c r="Q6" s="124"/>
    </row>
    <row r="7" spans="1:17" ht="19.5" customHeight="1" x14ac:dyDescent="0.3">
      <c r="A7" s="126" t="s">
        <v>191</v>
      </c>
      <c r="B7" s="42" t="s">
        <v>192</v>
      </c>
      <c r="C7" s="28">
        <v>4</v>
      </c>
      <c r="D7" s="28">
        <v>5</v>
      </c>
      <c r="E7" s="28">
        <v>4</v>
      </c>
      <c r="F7" s="28">
        <v>3</v>
      </c>
      <c r="G7" s="28">
        <v>4</v>
      </c>
      <c r="H7" s="28">
        <v>2</v>
      </c>
      <c r="I7" s="28">
        <v>3</v>
      </c>
      <c r="J7" s="28">
        <v>2</v>
      </c>
      <c r="K7" s="43">
        <f t="shared" ref="K7:K26" si="0">IFERROR((C7+D7+E7+F7+G7+H7+I7+J7)/(8*5),"")</f>
        <v>0.67500000000000004</v>
      </c>
      <c r="L7" s="44">
        <v>0.6</v>
      </c>
      <c r="M7" s="151" t="str">
        <f t="shared" ref="M7:M26" si="1">IFERROR(IF(K7&gt;=0.6,"✅ RETENU","❌ Écarter"),"—")</f>
        <v>✅ RETENU</v>
      </c>
      <c r="O7" s="45" t="s">
        <v>193</v>
      </c>
      <c r="P7" s="46">
        <f>IFERROR(AVERAGEIF(C7:C26,"&lt;&gt;"&amp;""),0)</f>
        <v>3.5</v>
      </c>
      <c r="Q7" s="47">
        <v>5</v>
      </c>
    </row>
    <row r="8" spans="1:17" ht="19.5" customHeight="1" x14ac:dyDescent="0.3">
      <c r="A8" s="126"/>
      <c r="B8" s="48" t="s">
        <v>194</v>
      </c>
      <c r="C8" s="33">
        <v>3</v>
      </c>
      <c r="D8" s="33">
        <v>4</v>
      </c>
      <c r="E8" s="33">
        <v>3</v>
      </c>
      <c r="F8" s="33">
        <v>2</v>
      </c>
      <c r="G8" s="33">
        <v>3</v>
      </c>
      <c r="H8" s="33">
        <v>1</v>
      </c>
      <c r="I8" s="33">
        <v>2</v>
      </c>
      <c r="J8" s="33">
        <v>1</v>
      </c>
      <c r="K8" s="43">
        <f t="shared" si="0"/>
        <v>0.47499999999999998</v>
      </c>
      <c r="L8" s="49">
        <v>0.6</v>
      </c>
      <c r="M8" s="151" t="str">
        <f t="shared" si="1"/>
        <v>❌ Écarter</v>
      </c>
      <c r="O8" s="50" t="s">
        <v>195</v>
      </c>
      <c r="P8" s="51">
        <f>IFERROR(AVERAGEIF(D7:D26,"&lt;&gt;"&amp;""),0)</f>
        <v>4.5</v>
      </c>
      <c r="Q8" s="47">
        <v>5</v>
      </c>
    </row>
    <row r="9" spans="1:17" ht="19.5" customHeight="1" x14ac:dyDescent="0.3">
      <c r="A9" s="126"/>
      <c r="B9" s="42" t="s">
        <v>196</v>
      </c>
      <c r="C9" s="28"/>
      <c r="D9" s="28"/>
      <c r="E9" s="28"/>
      <c r="F9" s="28"/>
      <c r="G9" s="28"/>
      <c r="H9" s="28"/>
      <c r="I9" s="28"/>
      <c r="J9" s="28"/>
      <c r="K9" s="43">
        <f t="shared" si="0"/>
        <v>0</v>
      </c>
      <c r="L9" s="44">
        <v>0.6</v>
      </c>
      <c r="M9" s="151" t="str">
        <f t="shared" si="1"/>
        <v>❌ Écarter</v>
      </c>
      <c r="O9" s="45" t="s">
        <v>197</v>
      </c>
      <c r="P9" s="46">
        <f>IFERROR(AVERAGEIF(E7:E26,"&lt;&gt;"&amp;""),0)</f>
        <v>3.5</v>
      </c>
      <c r="Q9" s="47">
        <v>5</v>
      </c>
    </row>
    <row r="10" spans="1:17" ht="19.5" customHeight="1" x14ac:dyDescent="0.3">
      <c r="A10" s="126" t="s">
        <v>198</v>
      </c>
      <c r="B10" s="42" t="s">
        <v>192</v>
      </c>
      <c r="C10" s="28">
        <v>4</v>
      </c>
      <c r="D10" s="28">
        <v>5</v>
      </c>
      <c r="E10" s="28">
        <v>4</v>
      </c>
      <c r="F10" s="28">
        <v>3</v>
      </c>
      <c r="G10" s="28">
        <v>4</v>
      </c>
      <c r="H10" s="28">
        <v>2</v>
      </c>
      <c r="I10" s="28">
        <v>3</v>
      </c>
      <c r="J10" s="28">
        <v>2</v>
      </c>
      <c r="K10" s="43">
        <f t="shared" si="0"/>
        <v>0.67500000000000004</v>
      </c>
      <c r="L10" s="44">
        <v>0.6</v>
      </c>
      <c r="M10" s="151" t="str">
        <f t="shared" si="1"/>
        <v>✅ RETENU</v>
      </c>
      <c r="O10" s="50" t="s">
        <v>199</v>
      </c>
      <c r="P10" s="51">
        <f>IFERROR(AVERAGEIF(F7:F26,"&lt;&gt;"&amp;""),0)</f>
        <v>2.5</v>
      </c>
      <c r="Q10" s="47">
        <v>5</v>
      </c>
    </row>
    <row r="11" spans="1:17" ht="19.5" customHeight="1" x14ac:dyDescent="0.3">
      <c r="A11" s="126"/>
      <c r="B11" s="48" t="s">
        <v>194</v>
      </c>
      <c r="C11" s="33">
        <v>3</v>
      </c>
      <c r="D11" s="33">
        <v>4</v>
      </c>
      <c r="E11" s="33">
        <v>3</v>
      </c>
      <c r="F11" s="33">
        <v>2</v>
      </c>
      <c r="G11" s="33">
        <v>3</v>
      </c>
      <c r="H11" s="33">
        <v>1</v>
      </c>
      <c r="I11" s="33">
        <v>2</v>
      </c>
      <c r="J11" s="33">
        <v>1</v>
      </c>
      <c r="K11" s="43">
        <f t="shared" si="0"/>
        <v>0.47499999999999998</v>
      </c>
      <c r="L11" s="49">
        <v>0.6</v>
      </c>
      <c r="M11" s="151" t="str">
        <f t="shared" si="1"/>
        <v>❌ Écarter</v>
      </c>
      <c r="O11" s="45" t="s">
        <v>200</v>
      </c>
      <c r="P11" s="46">
        <f>IFERROR(AVERAGEIF(G7:G26,"&lt;&gt;"&amp;""),0)</f>
        <v>3.5</v>
      </c>
      <c r="Q11" s="47">
        <v>5</v>
      </c>
    </row>
    <row r="12" spans="1:17" ht="19.5" customHeight="1" x14ac:dyDescent="0.3">
      <c r="A12" s="126"/>
      <c r="B12" s="42" t="s">
        <v>196</v>
      </c>
      <c r="C12" s="28"/>
      <c r="D12" s="28"/>
      <c r="E12" s="28"/>
      <c r="F12" s="28"/>
      <c r="G12" s="28"/>
      <c r="H12" s="28"/>
      <c r="I12" s="28"/>
      <c r="J12" s="28"/>
      <c r="K12" s="43">
        <f t="shared" si="0"/>
        <v>0</v>
      </c>
      <c r="L12" s="44">
        <v>0.6</v>
      </c>
      <c r="M12" s="151" t="str">
        <f t="shared" si="1"/>
        <v>❌ Écarter</v>
      </c>
      <c r="O12" s="50" t="s">
        <v>201</v>
      </c>
      <c r="P12" s="51">
        <f>IFERROR(AVERAGEIF(H7:H26,"&lt;&gt;"&amp;""),0)</f>
        <v>1.5</v>
      </c>
      <c r="Q12" s="47">
        <v>5</v>
      </c>
    </row>
    <row r="13" spans="1:17" ht="19.5" customHeight="1" x14ac:dyDescent="0.3">
      <c r="A13" s="126"/>
      <c r="B13" s="48" t="s">
        <v>202</v>
      </c>
      <c r="C13" s="33"/>
      <c r="D13" s="33"/>
      <c r="E13" s="33"/>
      <c r="F13" s="33"/>
      <c r="G13" s="33"/>
      <c r="H13" s="33"/>
      <c r="I13" s="33"/>
      <c r="J13" s="33"/>
      <c r="K13" s="43">
        <f t="shared" si="0"/>
        <v>0</v>
      </c>
      <c r="L13" s="49">
        <v>0.6</v>
      </c>
      <c r="M13" s="151" t="str">
        <f t="shared" si="1"/>
        <v>❌ Écarter</v>
      </c>
      <c r="O13" s="45" t="s">
        <v>203</v>
      </c>
      <c r="P13" s="46">
        <f>IFERROR(AVERAGEIF(I7:I26,"&lt;&gt;"&amp;""),0)</f>
        <v>2.5</v>
      </c>
      <c r="Q13" s="47">
        <v>5</v>
      </c>
    </row>
    <row r="14" spans="1:17" ht="19.5" customHeight="1" x14ac:dyDescent="0.3">
      <c r="A14" s="126"/>
      <c r="B14" s="42" t="s">
        <v>204</v>
      </c>
      <c r="C14" s="28"/>
      <c r="D14" s="28"/>
      <c r="E14" s="28"/>
      <c r="F14" s="28"/>
      <c r="G14" s="28"/>
      <c r="H14" s="28"/>
      <c r="I14" s="28"/>
      <c r="J14" s="28"/>
      <c r="K14" s="43">
        <f t="shared" si="0"/>
        <v>0</v>
      </c>
      <c r="L14" s="44">
        <v>0.6</v>
      </c>
      <c r="M14" s="151" t="str">
        <f t="shared" si="1"/>
        <v>❌ Écarter</v>
      </c>
      <c r="O14" s="50" t="s">
        <v>205</v>
      </c>
      <c r="P14" s="51">
        <f>IFERROR(AVERAGEIF(J7:J26,"&lt;&gt;"&amp;""),0)</f>
        <v>1.5</v>
      </c>
      <c r="Q14" s="47">
        <v>5</v>
      </c>
    </row>
    <row r="15" spans="1:17" ht="19.5" customHeight="1" x14ac:dyDescent="0.3">
      <c r="A15" s="126" t="s">
        <v>206</v>
      </c>
      <c r="B15" s="42" t="s">
        <v>192</v>
      </c>
      <c r="C15" s="28"/>
      <c r="D15" s="28"/>
      <c r="E15" s="28"/>
      <c r="F15" s="28"/>
      <c r="G15" s="28"/>
      <c r="H15" s="28"/>
      <c r="I15" s="28"/>
      <c r="J15" s="28"/>
      <c r="K15" s="43">
        <f t="shared" si="0"/>
        <v>0</v>
      </c>
      <c r="L15" s="44">
        <v>0.6</v>
      </c>
      <c r="M15" s="151" t="str">
        <f t="shared" si="1"/>
        <v>❌ Écarter</v>
      </c>
    </row>
    <row r="16" spans="1:17" ht="19.5" customHeight="1" x14ac:dyDescent="0.3">
      <c r="A16" s="126"/>
      <c r="B16" s="48" t="s">
        <v>194</v>
      </c>
      <c r="C16" s="33"/>
      <c r="D16" s="33"/>
      <c r="E16" s="33"/>
      <c r="F16" s="33"/>
      <c r="G16" s="33"/>
      <c r="H16" s="33"/>
      <c r="I16" s="33"/>
      <c r="J16" s="33"/>
      <c r="K16" s="43">
        <f t="shared" si="0"/>
        <v>0</v>
      </c>
      <c r="L16" s="49">
        <v>0.6</v>
      </c>
      <c r="M16" s="151" t="str">
        <f t="shared" si="1"/>
        <v>❌ Écarter</v>
      </c>
    </row>
    <row r="17" spans="1:13" ht="19.5" customHeight="1" x14ac:dyDescent="0.3">
      <c r="A17" s="126"/>
      <c r="B17" s="42" t="s">
        <v>196</v>
      </c>
      <c r="C17" s="28"/>
      <c r="D17" s="28"/>
      <c r="E17" s="28"/>
      <c r="F17" s="28"/>
      <c r="G17" s="28"/>
      <c r="H17" s="28"/>
      <c r="I17" s="28"/>
      <c r="J17" s="28"/>
      <c r="K17" s="43">
        <f t="shared" si="0"/>
        <v>0</v>
      </c>
      <c r="L17" s="44">
        <v>0.6</v>
      </c>
      <c r="M17" s="151" t="str">
        <f t="shared" si="1"/>
        <v>❌ Écarter</v>
      </c>
    </row>
    <row r="18" spans="1:13" ht="19.5" customHeight="1" x14ac:dyDescent="0.3">
      <c r="A18" s="126"/>
      <c r="B18" s="48" t="s">
        <v>202</v>
      </c>
      <c r="C18" s="33"/>
      <c r="D18" s="33"/>
      <c r="E18" s="33"/>
      <c r="F18" s="33"/>
      <c r="G18" s="33"/>
      <c r="H18" s="33"/>
      <c r="I18" s="33"/>
      <c r="J18" s="33"/>
      <c r="K18" s="43">
        <f t="shared" si="0"/>
        <v>0</v>
      </c>
      <c r="L18" s="49">
        <v>0.6</v>
      </c>
      <c r="M18" s="151" t="str">
        <f t="shared" si="1"/>
        <v>❌ Écarter</v>
      </c>
    </row>
    <row r="19" spans="1:13" ht="19.5" customHeight="1" x14ac:dyDescent="0.3">
      <c r="A19" s="126"/>
      <c r="B19" s="42" t="s">
        <v>204</v>
      </c>
      <c r="C19" s="28"/>
      <c r="D19" s="28"/>
      <c r="E19" s="28"/>
      <c r="F19" s="28"/>
      <c r="G19" s="28"/>
      <c r="H19" s="28"/>
      <c r="I19" s="28"/>
      <c r="J19" s="28"/>
      <c r="K19" s="43">
        <f t="shared" si="0"/>
        <v>0</v>
      </c>
      <c r="L19" s="44">
        <v>0.6</v>
      </c>
      <c r="M19" s="151" t="str">
        <f t="shared" si="1"/>
        <v>❌ Écarter</v>
      </c>
    </row>
    <row r="20" spans="1:13" ht="19.5" customHeight="1" x14ac:dyDescent="0.3">
      <c r="A20" s="126"/>
      <c r="B20" s="48" t="s">
        <v>207</v>
      </c>
      <c r="C20" s="33"/>
      <c r="D20" s="33"/>
      <c r="E20" s="33"/>
      <c r="F20" s="33"/>
      <c r="G20" s="33"/>
      <c r="H20" s="33"/>
      <c r="I20" s="33"/>
      <c r="J20" s="33"/>
      <c r="K20" s="43">
        <f t="shared" si="0"/>
        <v>0</v>
      </c>
      <c r="L20" s="49">
        <v>0.6</v>
      </c>
      <c r="M20" s="151" t="str">
        <f t="shared" si="1"/>
        <v>❌ Écarter</v>
      </c>
    </row>
    <row r="21" spans="1:13" ht="19.5" customHeight="1" x14ac:dyDescent="0.3">
      <c r="A21" s="126" t="s">
        <v>208</v>
      </c>
      <c r="B21" s="42" t="s">
        <v>192</v>
      </c>
      <c r="C21" s="28"/>
      <c r="D21" s="28"/>
      <c r="E21" s="28"/>
      <c r="F21" s="28"/>
      <c r="G21" s="28"/>
      <c r="H21" s="28"/>
      <c r="I21" s="28"/>
      <c r="J21" s="28"/>
      <c r="K21" s="43">
        <f t="shared" si="0"/>
        <v>0</v>
      </c>
      <c r="L21" s="44">
        <v>0.6</v>
      </c>
      <c r="M21" s="151" t="str">
        <f t="shared" si="1"/>
        <v>❌ Écarter</v>
      </c>
    </row>
    <row r="22" spans="1:13" ht="19.5" customHeight="1" x14ac:dyDescent="0.3">
      <c r="A22" s="126"/>
      <c r="B22" s="48" t="s">
        <v>194</v>
      </c>
      <c r="C22" s="33"/>
      <c r="D22" s="33"/>
      <c r="E22" s="33"/>
      <c r="F22" s="33"/>
      <c r="G22" s="33"/>
      <c r="H22" s="33"/>
      <c r="I22" s="33"/>
      <c r="J22" s="33"/>
      <c r="K22" s="43">
        <f t="shared" si="0"/>
        <v>0</v>
      </c>
      <c r="L22" s="49">
        <v>0.6</v>
      </c>
      <c r="M22" s="151" t="str">
        <f t="shared" si="1"/>
        <v>❌ Écarter</v>
      </c>
    </row>
    <row r="23" spans="1:13" ht="19.5" customHeight="1" x14ac:dyDescent="0.3">
      <c r="A23" s="126"/>
      <c r="B23" s="42" t="s">
        <v>196</v>
      </c>
      <c r="C23" s="28"/>
      <c r="D23" s="28"/>
      <c r="E23" s="28"/>
      <c r="F23" s="28"/>
      <c r="G23" s="28"/>
      <c r="H23" s="28"/>
      <c r="I23" s="28"/>
      <c r="J23" s="28"/>
      <c r="K23" s="43">
        <f t="shared" si="0"/>
        <v>0</v>
      </c>
      <c r="L23" s="44">
        <v>0.6</v>
      </c>
      <c r="M23" s="151" t="str">
        <f t="shared" si="1"/>
        <v>❌ Écarter</v>
      </c>
    </row>
    <row r="24" spans="1:13" ht="19.5" customHeight="1" x14ac:dyDescent="0.3">
      <c r="A24" s="126"/>
      <c r="B24" s="48" t="s">
        <v>202</v>
      </c>
      <c r="C24" s="33"/>
      <c r="D24" s="33"/>
      <c r="E24" s="33"/>
      <c r="F24" s="33"/>
      <c r="G24" s="33"/>
      <c r="H24" s="33"/>
      <c r="I24" s="33"/>
      <c r="J24" s="33"/>
      <c r="K24" s="43">
        <f t="shared" si="0"/>
        <v>0</v>
      </c>
      <c r="L24" s="49">
        <v>0.6</v>
      </c>
      <c r="M24" s="151" t="str">
        <f t="shared" si="1"/>
        <v>❌ Écarter</v>
      </c>
    </row>
    <row r="25" spans="1:13" ht="19.5" customHeight="1" x14ac:dyDescent="0.3">
      <c r="A25" s="126"/>
      <c r="B25" s="42" t="s">
        <v>204</v>
      </c>
      <c r="C25" s="28"/>
      <c r="D25" s="28"/>
      <c r="E25" s="28"/>
      <c r="F25" s="28"/>
      <c r="G25" s="28"/>
      <c r="H25" s="28"/>
      <c r="I25" s="28"/>
      <c r="J25" s="28"/>
      <c r="K25" s="43">
        <f t="shared" si="0"/>
        <v>0</v>
      </c>
      <c r="L25" s="44">
        <v>0.6</v>
      </c>
      <c r="M25" s="151" t="str">
        <f t="shared" si="1"/>
        <v>❌ Écarter</v>
      </c>
    </row>
    <row r="26" spans="1:13" ht="19.5" customHeight="1" x14ac:dyDescent="0.3">
      <c r="A26" s="126"/>
      <c r="B26" s="48" t="s">
        <v>207</v>
      </c>
      <c r="C26" s="33"/>
      <c r="D26" s="33"/>
      <c r="E26" s="33"/>
      <c r="F26" s="33"/>
      <c r="G26" s="33"/>
      <c r="H26" s="33"/>
      <c r="I26" s="33"/>
      <c r="J26" s="33"/>
      <c r="K26" s="43">
        <f t="shared" si="0"/>
        <v>0</v>
      </c>
      <c r="L26" s="49">
        <v>0.6</v>
      </c>
      <c r="M26" s="151" t="str">
        <f t="shared" si="1"/>
        <v>❌ Écarter</v>
      </c>
    </row>
  </sheetData>
  <mergeCells count="11">
    <mergeCell ref="A21:A26"/>
    <mergeCell ref="Q5:Q6"/>
    <mergeCell ref="A6:M6"/>
    <mergeCell ref="A7:A9"/>
    <mergeCell ref="A10:A14"/>
    <mergeCell ref="A15:A20"/>
    <mergeCell ref="A1:M1"/>
    <mergeCell ref="A3:C3"/>
    <mergeCell ref="D3:F3"/>
    <mergeCell ref="A4:M4"/>
    <mergeCell ref="O5:P5"/>
  </mergeCells>
  <conditionalFormatting sqref="K7:K26">
    <cfRule type="cellIs" dxfId="16" priority="2" operator="greaterThanOrEqual">
      <formula>0.6</formula>
    </cfRule>
    <cfRule type="cellIs" dxfId="15" priority="3" operator="lessThan">
      <formula>0.6</formula>
    </cfRule>
  </conditionalFormatting>
  <dataValidations count="1">
    <dataValidation type="list" allowBlank="1" sqref="C7:J26" xr:uid="{00000000-0002-0000-0800-000000000000}">
      <formula1>"1,2,3,4,5"</formula1>
      <formula2>0</formula2>
    </dataValidation>
  </dataValidations>
  <hyperlinks>
    <hyperlink ref="A2" r:id="rId1" location="'MENU%20fr'!B2" xr:uid="{00000000-0004-0000-08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4E79"/>
  </sheetPr>
  <dimension ref="A1:F17"/>
  <sheetViews>
    <sheetView showGridLines="0" zoomScaleNormal="100" workbookViewId="0">
      <pane ySplit="5" topLeftCell="A29" activePane="bottomLeft" state="frozen"/>
      <selection pane="bottomLeft" sqref="A1:F1"/>
    </sheetView>
  </sheetViews>
  <sheetFormatPr baseColWidth="10" defaultColWidth="8.6640625" defaultRowHeight="14.4" x14ac:dyDescent="0.3"/>
  <cols>
    <col min="1" max="1" width="28" customWidth="1"/>
    <col min="2" max="2" width="35" customWidth="1"/>
    <col min="3" max="4" width="28" customWidth="1"/>
    <col min="5" max="5" width="14" customWidth="1"/>
    <col min="6" max="6" width="18" customWidth="1"/>
  </cols>
  <sheetData>
    <row r="1" spans="1:6" ht="36" customHeight="1" x14ac:dyDescent="0.3">
      <c r="A1" s="98" t="s">
        <v>209</v>
      </c>
      <c r="B1" s="98"/>
      <c r="C1" s="98"/>
      <c r="D1" s="98"/>
      <c r="E1" s="98"/>
      <c r="F1" s="98"/>
    </row>
    <row r="2" spans="1:6" ht="15" customHeight="1" x14ac:dyDescent="0.3">
      <c r="A2" s="15" t="s">
        <v>22</v>
      </c>
    </row>
    <row r="3" spans="1:6" ht="15" customHeight="1" x14ac:dyDescent="0.3">
      <c r="A3" s="111" t="s">
        <v>102</v>
      </c>
      <c r="B3" s="111"/>
      <c r="C3" s="111"/>
      <c r="D3" s="112">
        <f>'0. Profil'!C5</f>
        <v>0</v>
      </c>
      <c r="E3" s="112"/>
      <c r="F3" s="112"/>
    </row>
    <row r="4" spans="1:6" ht="15" customHeight="1" x14ac:dyDescent="0.3">
      <c r="A4" s="105" t="s">
        <v>210</v>
      </c>
      <c r="B4" s="105"/>
      <c r="C4" s="105"/>
      <c r="D4" s="105"/>
      <c r="E4" s="105"/>
      <c r="F4" s="105"/>
    </row>
    <row r="5" spans="1:6" ht="31.5" customHeight="1" x14ac:dyDescent="0.3">
      <c r="A5" s="22" t="s">
        <v>211</v>
      </c>
      <c r="B5" s="22" t="s">
        <v>212</v>
      </c>
      <c r="C5" s="22" t="s">
        <v>213</v>
      </c>
      <c r="D5" s="22" t="s">
        <v>214</v>
      </c>
      <c r="E5" s="22" t="s">
        <v>215</v>
      </c>
      <c r="F5" s="22" t="s">
        <v>216</v>
      </c>
    </row>
    <row r="6" spans="1:6" ht="21.75" customHeight="1" x14ac:dyDescent="0.3">
      <c r="A6" s="23"/>
      <c r="B6" s="23"/>
      <c r="C6" s="23"/>
      <c r="D6" s="23"/>
      <c r="E6" s="23"/>
      <c r="F6" s="23"/>
    </row>
    <row r="7" spans="1:6" ht="21.75" customHeight="1" x14ac:dyDescent="0.3">
      <c r="A7" s="24"/>
      <c r="B7" s="24"/>
      <c r="C7" s="24"/>
      <c r="D7" s="24"/>
      <c r="E7" s="24"/>
      <c r="F7" s="24"/>
    </row>
    <row r="8" spans="1:6" ht="21.75" customHeight="1" x14ac:dyDescent="0.3">
      <c r="A8" s="23"/>
      <c r="B8" s="23"/>
      <c r="C8" s="23"/>
      <c r="D8" s="23"/>
      <c r="E8" s="23"/>
      <c r="F8" s="23"/>
    </row>
    <row r="9" spans="1:6" ht="21.75" customHeight="1" x14ac:dyDescent="0.3">
      <c r="A9" s="24"/>
      <c r="B9" s="24"/>
      <c r="C9" s="24"/>
      <c r="D9" s="24"/>
      <c r="E9" s="24"/>
      <c r="F9" s="24"/>
    </row>
    <row r="10" spans="1:6" ht="21.75" customHeight="1" x14ac:dyDescent="0.3">
      <c r="A10" s="23"/>
      <c r="B10" s="23"/>
      <c r="C10" s="23"/>
      <c r="D10" s="23"/>
      <c r="E10" s="23"/>
      <c r="F10" s="23"/>
    </row>
    <row r="11" spans="1:6" ht="21.75" customHeight="1" x14ac:dyDescent="0.3">
      <c r="A11" s="24"/>
      <c r="B11" s="24"/>
      <c r="C11" s="24"/>
      <c r="D11" s="24"/>
      <c r="E11" s="24"/>
      <c r="F11" s="24"/>
    </row>
    <row r="12" spans="1:6" ht="21.75" customHeight="1" x14ac:dyDescent="0.3">
      <c r="A12" s="23"/>
      <c r="B12" s="23"/>
      <c r="C12" s="23"/>
      <c r="D12" s="23"/>
      <c r="E12" s="23"/>
      <c r="F12" s="23"/>
    </row>
    <row r="13" spans="1:6" ht="21.75" customHeight="1" x14ac:dyDescent="0.3">
      <c r="A13" s="24"/>
      <c r="B13" s="24"/>
      <c r="C13" s="24"/>
      <c r="D13" s="24"/>
      <c r="E13" s="24"/>
      <c r="F13" s="24"/>
    </row>
    <row r="14" spans="1:6" ht="21.75" customHeight="1" x14ac:dyDescent="0.3">
      <c r="A14" s="23"/>
      <c r="B14" s="23"/>
      <c r="C14" s="23"/>
      <c r="D14" s="23"/>
      <c r="E14" s="23"/>
      <c r="F14" s="23"/>
    </row>
    <row r="15" spans="1:6" ht="21.75" customHeight="1" x14ac:dyDescent="0.3">
      <c r="A15" s="24"/>
      <c r="B15" s="24"/>
      <c r="C15" s="24"/>
      <c r="D15" s="24"/>
      <c r="E15" s="24"/>
      <c r="F15" s="24"/>
    </row>
    <row r="16" spans="1:6" ht="21.75" customHeight="1" x14ac:dyDescent="0.3">
      <c r="A16" s="23"/>
      <c r="B16" s="23"/>
      <c r="C16" s="23"/>
      <c r="D16" s="23"/>
      <c r="E16" s="23"/>
      <c r="F16" s="23"/>
    </row>
    <row r="17" spans="1:6" ht="21.75" customHeight="1" x14ac:dyDescent="0.3">
      <c r="A17" s="24"/>
      <c r="B17" s="24"/>
      <c r="C17" s="24"/>
      <c r="D17" s="24"/>
      <c r="E17" s="24"/>
      <c r="F17" s="24"/>
    </row>
  </sheetData>
  <mergeCells count="4">
    <mergeCell ref="A1:F1"/>
    <mergeCell ref="A3:C3"/>
    <mergeCell ref="D3:F3"/>
    <mergeCell ref="A4:F4"/>
  </mergeCells>
  <hyperlinks>
    <hyperlink ref="A2" r:id="rId1" location="'MENU%20fr'!B2" xr:uid="{00000000-0004-0000-09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4E79"/>
  </sheetPr>
  <dimension ref="A1:K17"/>
  <sheetViews>
    <sheetView showGridLines="0" zoomScaleNormal="100" workbookViewId="0">
      <pane ySplit="5" topLeftCell="A15" activePane="bottomLeft" state="frozen"/>
      <selection pane="bottomLeft" sqref="A1:K1"/>
    </sheetView>
  </sheetViews>
  <sheetFormatPr baseColWidth="10" defaultColWidth="8.6640625" defaultRowHeight="14.4" x14ac:dyDescent="0.3"/>
  <cols>
    <col min="1" max="2" width="22" customWidth="1"/>
    <col min="3" max="3" width="10" customWidth="1"/>
    <col min="4" max="4" width="30" customWidth="1"/>
    <col min="5" max="7" width="10" customWidth="1"/>
    <col min="8" max="8" width="22" customWidth="1"/>
    <col min="9" max="9" width="12" customWidth="1"/>
    <col min="10" max="10" width="16" customWidth="1"/>
    <col min="11" max="11" width="22" customWidth="1"/>
  </cols>
  <sheetData>
    <row r="1" spans="1:11" ht="36" customHeight="1" x14ac:dyDescent="0.3">
      <c r="A1" s="98" t="s">
        <v>217</v>
      </c>
      <c r="B1" s="98"/>
      <c r="C1" s="98"/>
      <c r="D1" s="98"/>
      <c r="E1" s="98"/>
      <c r="F1" s="98"/>
      <c r="G1" s="98"/>
      <c r="H1" s="98"/>
      <c r="I1" s="98"/>
      <c r="J1" s="98"/>
      <c r="K1" s="98"/>
    </row>
    <row r="2" spans="1:11" ht="15" customHeight="1" x14ac:dyDescent="0.3">
      <c r="A2" s="15" t="s">
        <v>22</v>
      </c>
    </row>
    <row r="3" spans="1:11" ht="15" customHeight="1" x14ac:dyDescent="0.3">
      <c r="A3" s="111" t="s">
        <v>102</v>
      </c>
      <c r="B3" s="111"/>
      <c r="C3" s="111"/>
      <c r="D3" s="112">
        <f>'0. Profil'!C5</f>
        <v>0</v>
      </c>
      <c r="E3" s="112"/>
      <c r="F3" s="112"/>
      <c r="G3" s="112"/>
    </row>
    <row r="4" spans="1:11" ht="15" customHeight="1" x14ac:dyDescent="0.3">
      <c r="A4" s="105" t="s">
        <v>218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</row>
    <row r="5" spans="1:11" ht="31.5" customHeight="1" x14ac:dyDescent="0.3">
      <c r="A5" s="22" t="s">
        <v>219</v>
      </c>
      <c r="B5" s="22" t="s">
        <v>220</v>
      </c>
      <c r="C5" s="22" t="s">
        <v>221</v>
      </c>
      <c r="D5" s="22" t="s">
        <v>222</v>
      </c>
      <c r="E5" s="22" t="s">
        <v>223</v>
      </c>
      <c r="F5" s="22" t="s">
        <v>224</v>
      </c>
      <c r="G5" s="22" t="s">
        <v>225</v>
      </c>
      <c r="H5" s="22" t="s">
        <v>226</v>
      </c>
      <c r="I5" s="22" t="s">
        <v>215</v>
      </c>
      <c r="J5" s="22" t="s">
        <v>216</v>
      </c>
      <c r="K5" s="22" t="s">
        <v>227</v>
      </c>
    </row>
    <row r="6" spans="1:11" ht="21.75" customHeight="1" x14ac:dyDescent="0.3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</row>
    <row r="7" spans="1:11" ht="21.75" customHeight="1" x14ac:dyDescent="0.3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ht="21.75" customHeight="1" x14ac:dyDescent="0.3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</row>
    <row r="9" spans="1:11" ht="21.75" customHeight="1" x14ac:dyDescent="0.3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</row>
    <row r="10" spans="1:11" ht="21.75" customHeight="1" x14ac:dyDescent="0.3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21.75" customHeight="1" x14ac:dyDescent="0.3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spans="1:11" ht="21.75" customHeight="1" x14ac:dyDescent="0.3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21.75" customHeight="1" x14ac:dyDescent="0.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spans="1:11" ht="21.75" customHeight="1" x14ac:dyDescent="0.3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21.75" customHeight="1" x14ac:dyDescent="0.3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</row>
    <row r="16" spans="1:11" ht="21.75" customHeight="1" x14ac:dyDescent="0.3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21.75" customHeight="1" x14ac:dyDescent="0.3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</row>
  </sheetData>
  <mergeCells count="4">
    <mergeCell ref="A1:K1"/>
    <mergeCell ref="A3:C3"/>
    <mergeCell ref="D3:G3"/>
    <mergeCell ref="A4:K4"/>
  </mergeCells>
  <hyperlinks>
    <hyperlink ref="A2" r:id="rId1" location="'MENU%20fr'!B2" xr:uid="{00000000-0004-0000-0A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7406A"/>
  </sheetPr>
  <dimension ref="A1:X20"/>
  <sheetViews>
    <sheetView showGridLines="0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sqref="A1:X1"/>
    </sheetView>
  </sheetViews>
  <sheetFormatPr baseColWidth="10" defaultColWidth="8.6640625" defaultRowHeight="14.4" x14ac:dyDescent="0.3"/>
  <cols>
    <col min="1" max="1" width="8.6640625" customWidth="1"/>
    <col min="2" max="3" width="16" customWidth="1"/>
    <col min="4" max="4" width="12" customWidth="1"/>
    <col min="5" max="24" width="7" customWidth="1"/>
  </cols>
  <sheetData>
    <row r="1" spans="1:24" ht="36" customHeight="1" x14ac:dyDescent="0.3">
      <c r="A1" s="98" t="s">
        <v>228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</row>
    <row r="2" spans="1:24" ht="15" customHeight="1" x14ac:dyDescent="0.3">
      <c r="A2" s="15" t="s">
        <v>22</v>
      </c>
    </row>
    <row r="4" spans="1:24" ht="19.5" customHeight="1" x14ac:dyDescent="0.3">
      <c r="A4" s="127" t="s">
        <v>229</v>
      </c>
      <c r="B4" s="127"/>
      <c r="C4" s="127"/>
      <c r="D4" s="127"/>
      <c r="E4" s="128" t="s">
        <v>230</v>
      </c>
      <c r="F4" s="128"/>
      <c r="G4" s="128"/>
      <c r="H4" s="128"/>
      <c r="I4" s="129" t="s">
        <v>231</v>
      </c>
      <c r="J4" s="129"/>
      <c r="K4" s="129"/>
      <c r="L4" s="129"/>
      <c r="M4" s="128" t="s">
        <v>232</v>
      </c>
      <c r="N4" s="128"/>
      <c r="O4" s="128"/>
      <c r="P4" s="128"/>
      <c r="Q4" s="129" t="s">
        <v>233</v>
      </c>
      <c r="R4" s="129"/>
      <c r="S4" s="129"/>
      <c r="T4" s="129"/>
      <c r="U4" s="128" t="s">
        <v>234</v>
      </c>
      <c r="V4" s="128"/>
      <c r="W4" s="128"/>
      <c r="X4" s="128"/>
    </row>
    <row r="5" spans="1:24" ht="15.75" customHeight="1" x14ac:dyDescent="0.3">
      <c r="A5" s="52"/>
      <c r="B5" s="52" t="s">
        <v>235</v>
      </c>
      <c r="C5" s="52" t="s">
        <v>175</v>
      </c>
      <c r="D5" s="52" t="s">
        <v>236</v>
      </c>
      <c r="E5" s="53" t="s">
        <v>237</v>
      </c>
      <c r="F5" s="53" t="s">
        <v>238</v>
      </c>
      <c r="G5" s="53" t="s">
        <v>239</v>
      </c>
      <c r="H5" s="53" t="s">
        <v>240</v>
      </c>
      <c r="I5" s="54" t="s">
        <v>237</v>
      </c>
      <c r="J5" s="54" t="s">
        <v>238</v>
      </c>
      <c r="K5" s="54" t="s">
        <v>239</v>
      </c>
      <c r="L5" s="54" t="s">
        <v>240</v>
      </c>
      <c r="M5" s="53" t="s">
        <v>237</v>
      </c>
      <c r="N5" s="53" t="s">
        <v>238</v>
      </c>
      <c r="O5" s="53" t="s">
        <v>239</v>
      </c>
      <c r="P5" s="53" t="s">
        <v>240</v>
      </c>
      <c r="Q5" s="54" t="s">
        <v>237</v>
      </c>
      <c r="R5" s="54" t="s">
        <v>238</v>
      </c>
      <c r="S5" s="54" t="s">
        <v>239</v>
      </c>
      <c r="T5" s="54" t="s">
        <v>240</v>
      </c>
      <c r="U5" s="53" t="s">
        <v>237</v>
      </c>
      <c r="V5" s="53" t="s">
        <v>238</v>
      </c>
      <c r="W5" s="53" t="s">
        <v>239</v>
      </c>
      <c r="X5" s="53" t="s">
        <v>240</v>
      </c>
    </row>
    <row r="6" spans="1:24" ht="18" customHeight="1" x14ac:dyDescent="0.3">
      <c r="A6" s="130" t="s">
        <v>241</v>
      </c>
      <c r="B6" s="131" t="s">
        <v>242</v>
      </c>
      <c r="C6" s="132" t="s">
        <v>243</v>
      </c>
      <c r="D6" s="52" t="s">
        <v>244</v>
      </c>
      <c r="E6" s="55">
        <v>10</v>
      </c>
      <c r="F6" s="55">
        <v>20</v>
      </c>
      <c r="G6" s="55">
        <v>30</v>
      </c>
      <c r="H6" s="55">
        <v>40</v>
      </c>
      <c r="I6" s="55">
        <v>55</v>
      </c>
      <c r="J6" s="55">
        <v>65</v>
      </c>
      <c r="K6" s="55">
        <v>75</v>
      </c>
      <c r="L6" s="55">
        <v>85</v>
      </c>
      <c r="M6" s="55">
        <v>90</v>
      </c>
      <c r="N6" s="55">
        <v>92</v>
      </c>
      <c r="O6" s="55">
        <v>94</v>
      </c>
      <c r="P6" s="55">
        <v>96</v>
      </c>
      <c r="Q6" s="55">
        <v>97</v>
      </c>
      <c r="R6" s="55">
        <v>98</v>
      </c>
      <c r="S6" s="55">
        <v>99</v>
      </c>
      <c r="T6" s="55">
        <v>100</v>
      </c>
      <c r="U6" s="55">
        <v>100</v>
      </c>
      <c r="V6" s="55">
        <v>100</v>
      </c>
      <c r="W6" s="55">
        <v>100</v>
      </c>
      <c r="X6" s="55">
        <v>100</v>
      </c>
    </row>
    <row r="7" spans="1:24" ht="18" customHeight="1" x14ac:dyDescent="0.3">
      <c r="A7" s="130"/>
      <c r="B7" s="130"/>
      <c r="C7" s="130"/>
      <c r="D7" s="56" t="s">
        <v>245</v>
      </c>
      <c r="E7" s="57">
        <v>8</v>
      </c>
      <c r="F7" s="57">
        <v>17</v>
      </c>
      <c r="G7" s="57">
        <v>26</v>
      </c>
      <c r="H7" s="57">
        <v>35</v>
      </c>
      <c r="I7" s="57">
        <v>45</v>
      </c>
      <c r="J7" s="57">
        <v>52</v>
      </c>
      <c r="K7" s="57">
        <v>60</v>
      </c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</row>
    <row r="8" spans="1:24" ht="18" customHeight="1" x14ac:dyDescent="0.3">
      <c r="A8" s="130"/>
      <c r="B8" s="130"/>
      <c r="C8" s="130"/>
      <c r="D8" s="58" t="s">
        <v>246</v>
      </c>
      <c r="E8" s="59">
        <f t="shared" ref="E8:X8" si="0">IFERROR(IF(AND(E7&lt;&gt;"",E6&lt;&gt;""),E7-E6,""),"")</f>
        <v>-2</v>
      </c>
      <c r="F8" s="59">
        <f t="shared" si="0"/>
        <v>-3</v>
      </c>
      <c r="G8" s="59">
        <f t="shared" si="0"/>
        <v>-4</v>
      </c>
      <c r="H8" s="59">
        <f t="shared" si="0"/>
        <v>-5</v>
      </c>
      <c r="I8" s="59">
        <f t="shared" si="0"/>
        <v>-10</v>
      </c>
      <c r="J8" s="59">
        <f t="shared" si="0"/>
        <v>-13</v>
      </c>
      <c r="K8" s="59">
        <f t="shared" si="0"/>
        <v>-15</v>
      </c>
      <c r="L8" s="59" t="str">
        <f t="shared" si="0"/>
        <v/>
      </c>
      <c r="M8" s="59" t="str">
        <f t="shared" si="0"/>
        <v/>
      </c>
      <c r="N8" s="59" t="str">
        <f t="shared" si="0"/>
        <v/>
      </c>
      <c r="O8" s="59" t="str">
        <f t="shared" si="0"/>
        <v/>
      </c>
      <c r="P8" s="59" t="str">
        <f t="shared" si="0"/>
        <v/>
      </c>
      <c r="Q8" s="59" t="str">
        <f t="shared" si="0"/>
        <v/>
      </c>
      <c r="R8" s="59" t="str">
        <f t="shared" si="0"/>
        <v/>
      </c>
      <c r="S8" s="59" t="str">
        <f t="shared" si="0"/>
        <v/>
      </c>
      <c r="T8" s="59" t="str">
        <f t="shared" si="0"/>
        <v/>
      </c>
      <c r="U8" s="59" t="str">
        <f t="shared" si="0"/>
        <v/>
      </c>
      <c r="V8" s="59" t="str">
        <f t="shared" si="0"/>
        <v/>
      </c>
      <c r="W8" s="59" t="str">
        <f t="shared" si="0"/>
        <v/>
      </c>
      <c r="X8" s="59" t="str">
        <f t="shared" si="0"/>
        <v/>
      </c>
    </row>
    <row r="9" spans="1:24" ht="18" customHeight="1" x14ac:dyDescent="0.3">
      <c r="A9" s="130"/>
      <c r="B9" s="130"/>
      <c r="C9" s="130"/>
      <c r="D9" s="60" t="s">
        <v>247</v>
      </c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</row>
    <row r="10" spans="1:24" ht="3.75" customHeight="1" x14ac:dyDescent="0.3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spans="1:24" ht="18" customHeight="1" x14ac:dyDescent="0.3">
      <c r="A11" s="126" t="s">
        <v>248</v>
      </c>
      <c r="B11" s="131" t="s">
        <v>249</v>
      </c>
      <c r="C11" s="132" t="s">
        <v>243</v>
      </c>
      <c r="D11" s="52" t="s">
        <v>244</v>
      </c>
      <c r="E11" s="55">
        <v>5</v>
      </c>
      <c r="F11" s="55">
        <v>12</v>
      </c>
      <c r="G11" s="55">
        <v>22</v>
      </c>
      <c r="H11" s="55">
        <v>35</v>
      </c>
      <c r="I11" s="55">
        <v>48</v>
      </c>
      <c r="J11" s="55">
        <v>60</v>
      </c>
      <c r="K11" s="55">
        <v>72</v>
      </c>
      <c r="L11" s="55">
        <v>82</v>
      </c>
      <c r="M11" s="55">
        <v>88</v>
      </c>
      <c r="N11" s="55">
        <v>91</v>
      </c>
      <c r="O11" s="55">
        <v>93</v>
      </c>
      <c r="P11" s="55">
        <v>95</v>
      </c>
      <c r="Q11" s="55">
        <v>97</v>
      </c>
      <c r="R11" s="55">
        <v>98</v>
      </c>
      <c r="S11" s="55">
        <v>99</v>
      </c>
      <c r="T11" s="55">
        <v>100</v>
      </c>
      <c r="U11" s="55">
        <v>100</v>
      </c>
      <c r="V11" s="55">
        <v>100</v>
      </c>
      <c r="W11" s="55">
        <v>100</v>
      </c>
      <c r="X11" s="55">
        <v>100</v>
      </c>
    </row>
    <row r="12" spans="1:24" ht="18" customHeight="1" x14ac:dyDescent="0.3">
      <c r="A12" s="126"/>
      <c r="B12" s="126"/>
      <c r="C12" s="126"/>
      <c r="D12" s="56" t="s">
        <v>245</v>
      </c>
      <c r="E12" s="57">
        <v>4</v>
      </c>
      <c r="F12" s="57">
        <v>10</v>
      </c>
      <c r="G12" s="57">
        <v>18</v>
      </c>
      <c r="H12" s="57">
        <v>28</v>
      </c>
      <c r="I12" s="57">
        <v>40</v>
      </c>
      <c r="J12" s="57">
        <v>50</v>
      </c>
      <c r="K12" s="57">
        <v>58</v>
      </c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</row>
    <row r="13" spans="1:24" ht="18" customHeight="1" x14ac:dyDescent="0.3">
      <c r="A13" s="126"/>
      <c r="B13" s="126"/>
      <c r="C13" s="126"/>
      <c r="D13" s="58" t="s">
        <v>246</v>
      </c>
      <c r="E13" s="59">
        <f t="shared" ref="E13:X13" si="1">IFERROR(IF(AND(E12&lt;&gt;"",E11&lt;&gt;""),E12-E11,""),"")</f>
        <v>-1</v>
      </c>
      <c r="F13" s="59">
        <f t="shared" si="1"/>
        <v>-2</v>
      </c>
      <c r="G13" s="59">
        <f t="shared" si="1"/>
        <v>-4</v>
      </c>
      <c r="H13" s="59">
        <f t="shared" si="1"/>
        <v>-7</v>
      </c>
      <c r="I13" s="59">
        <f t="shared" si="1"/>
        <v>-8</v>
      </c>
      <c r="J13" s="59">
        <f t="shared" si="1"/>
        <v>-10</v>
      </c>
      <c r="K13" s="59">
        <f t="shared" si="1"/>
        <v>-14</v>
      </c>
      <c r="L13" s="59" t="str">
        <f t="shared" si="1"/>
        <v/>
      </c>
      <c r="M13" s="59" t="str">
        <f t="shared" si="1"/>
        <v/>
      </c>
      <c r="N13" s="59" t="str">
        <f t="shared" si="1"/>
        <v/>
      </c>
      <c r="O13" s="59" t="str">
        <f t="shared" si="1"/>
        <v/>
      </c>
      <c r="P13" s="59" t="str">
        <f t="shared" si="1"/>
        <v/>
      </c>
      <c r="Q13" s="59" t="str">
        <f t="shared" si="1"/>
        <v/>
      </c>
      <c r="R13" s="59" t="str">
        <f t="shared" si="1"/>
        <v/>
      </c>
      <c r="S13" s="59" t="str">
        <f t="shared" si="1"/>
        <v/>
      </c>
      <c r="T13" s="59" t="str">
        <f t="shared" si="1"/>
        <v/>
      </c>
      <c r="U13" s="59" t="str">
        <f t="shared" si="1"/>
        <v/>
      </c>
      <c r="V13" s="59" t="str">
        <f t="shared" si="1"/>
        <v/>
      </c>
      <c r="W13" s="59" t="str">
        <f t="shared" si="1"/>
        <v/>
      </c>
      <c r="X13" s="59" t="str">
        <f t="shared" si="1"/>
        <v/>
      </c>
    </row>
    <row r="14" spans="1:24" ht="18" customHeight="1" x14ac:dyDescent="0.3">
      <c r="A14" s="126"/>
      <c r="B14" s="126"/>
      <c r="C14" s="126"/>
      <c r="D14" s="60" t="s">
        <v>247</v>
      </c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</row>
    <row r="15" spans="1:24" ht="3.75" customHeight="1" x14ac:dyDescent="0.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spans="1:24" ht="18" customHeight="1" x14ac:dyDescent="0.3">
      <c r="A16" s="133" t="s">
        <v>127</v>
      </c>
      <c r="B16" s="131" t="s">
        <v>250</v>
      </c>
      <c r="C16" s="132" t="s">
        <v>243</v>
      </c>
      <c r="D16" s="52" t="s">
        <v>244</v>
      </c>
      <c r="E16" s="55">
        <v>15</v>
      </c>
      <c r="F16" s="55">
        <v>28</v>
      </c>
      <c r="G16" s="55">
        <v>40</v>
      </c>
      <c r="H16" s="55">
        <v>52</v>
      </c>
      <c r="I16" s="55">
        <v>63</v>
      </c>
      <c r="J16" s="55">
        <v>72</v>
      </c>
      <c r="K16" s="55">
        <v>80</v>
      </c>
      <c r="L16" s="55">
        <v>86</v>
      </c>
      <c r="M16" s="55">
        <v>90</v>
      </c>
      <c r="N16" s="55">
        <v>93</v>
      </c>
      <c r="O16" s="55">
        <v>95</v>
      </c>
      <c r="P16" s="55">
        <v>97</v>
      </c>
      <c r="Q16" s="55">
        <v>98</v>
      </c>
      <c r="R16" s="55">
        <v>99</v>
      </c>
      <c r="S16" s="55">
        <v>100</v>
      </c>
      <c r="T16" s="55">
        <v>100</v>
      </c>
      <c r="U16" s="55">
        <v>100</v>
      </c>
      <c r="V16" s="55">
        <v>100</v>
      </c>
      <c r="W16" s="55">
        <v>100</v>
      </c>
      <c r="X16" s="55">
        <v>100</v>
      </c>
    </row>
    <row r="17" spans="1:24" ht="18" customHeight="1" x14ac:dyDescent="0.3">
      <c r="A17" s="133"/>
      <c r="B17" s="133"/>
      <c r="C17" s="133"/>
      <c r="D17" s="56" t="s">
        <v>245</v>
      </c>
      <c r="E17" s="57">
        <v>12</v>
      </c>
      <c r="F17" s="57">
        <v>22</v>
      </c>
      <c r="G17" s="57">
        <v>33</v>
      </c>
      <c r="H17" s="57">
        <v>44</v>
      </c>
      <c r="I17" s="57">
        <v>56</v>
      </c>
      <c r="J17" s="57">
        <v>64</v>
      </c>
      <c r="K17" s="57">
        <v>70</v>
      </c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</row>
    <row r="18" spans="1:24" ht="18" customHeight="1" x14ac:dyDescent="0.3">
      <c r="A18" s="133"/>
      <c r="B18" s="133"/>
      <c r="C18" s="133"/>
      <c r="D18" s="58" t="s">
        <v>246</v>
      </c>
      <c r="E18" s="59">
        <f t="shared" ref="E18:X18" si="2">IFERROR(IF(AND(E17&lt;&gt;"",E16&lt;&gt;""),E17-E16,""),"")</f>
        <v>-3</v>
      </c>
      <c r="F18" s="59">
        <f t="shared" si="2"/>
        <v>-6</v>
      </c>
      <c r="G18" s="59">
        <f t="shared" si="2"/>
        <v>-7</v>
      </c>
      <c r="H18" s="59">
        <f t="shared" si="2"/>
        <v>-8</v>
      </c>
      <c r="I18" s="59">
        <f t="shared" si="2"/>
        <v>-7</v>
      </c>
      <c r="J18" s="59">
        <f t="shared" si="2"/>
        <v>-8</v>
      </c>
      <c r="K18" s="59">
        <f t="shared" si="2"/>
        <v>-10</v>
      </c>
      <c r="L18" s="59" t="str">
        <f t="shared" si="2"/>
        <v/>
      </c>
      <c r="M18" s="59" t="str">
        <f t="shared" si="2"/>
        <v/>
      </c>
      <c r="N18" s="59" t="str">
        <f t="shared" si="2"/>
        <v/>
      </c>
      <c r="O18" s="59" t="str">
        <f t="shared" si="2"/>
        <v/>
      </c>
      <c r="P18" s="59" t="str">
        <f t="shared" si="2"/>
        <v/>
      </c>
      <c r="Q18" s="59" t="str">
        <f t="shared" si="2"/>
        <v/>
      </c>
      <c r="R18" s="59" t="str">
        <f t="shared" si="2"/>
        <v/>
      </c>
      <c r="S18" s="59" t="str">
        <f t="shared" si="2"/>
        <v/>
      </c>
      <c r="T18" s="59" t="str">
        <f t="shared" si="2"/>
        <v/>
      </c>
      <c r="U18" s="59" t="str">
        <f t="shared" si="2"/>
        <v/>
      </c>
      <c r="V18" s="59" t="str">
        <f t="shared" si="2"/>
        <v/>
      </c>
      <c r="W18" s="59" t="str">
        <f t="shared" si="2"/>
        <v/>
      </c>
      <c r="X18" s="59" t="str">
        <f t="shared" si="2"/>
        <v/>
      </c>
    </row>
    <row r="19" spans="1:24" ht="18" customHeight="1" x14ac:dyDescent="0.3">
      <c r="A19" s="133"/>
      <c r="B19" s="133"/>
      <c r="C19" s="133"/>
      <c r="D19" s="60" t="s">
        <v>247</v>
      </c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</row>
    <row r="20" spans="1:24" ht="3.75" customHeight="1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16">
    <mergeCell ref="A16:A19"/>
    <mergeCell ref="B16:B19"/>
    <mergeCell ref="C16:C19"/>
    <mergeCell ref="A6:A9"/>
    <mergeCell ref="B6:B9"/>
    <mergeCell ref="C6:C9"/>
    <mergeCell ref="A11:A14"/>
    <mergeCell ref="B11:B14"/>
    <mergeCell ref="C11:C14"/>
    <mergeCell ref="A1:X1"/>
    <mergeCell ref="A4:D4"/>
    <mergeCell ref="E4:H4"/>
    <mergeCell ref="I4:L4"/>
    <mergeCell ref="M4:P4"/>
    <mergeCell ref="Q4:T4"/>
    <mergeCell ref="U4:X4"/>
  </mergeCells>
  <conditionalFormatting sqref="E8:X8">
    <cfRule type="cellIs" dxfId="14" priority="2" operator="lessThan">
      <formula>0</formula>
    </cfRule>
    <cfRule type="cellIs" dxfId="13" priority="3" operator="greaterThan">
      <formula>0</formula>
    </cfRule>
  </conditionalFormatting>
  <conditionalFormatting sqref="E13:X13">
    <cfRule type="cellIs" dxfId="12" priority="4" operator="lessThan">
      <formula>0</formula>
    </cfRule>
    <cfRule type="cellIs" dxfId="11" priority="5" operator="greaterThan">
      <formula>0</formula>
    </cfRule>
  </conditionalFormatting>
  <conditionalFormatting sqref="E18:X18">
    <cfRule type="cellIs" dxfId="10" priority="6" operator="lessThan">
      <formula>0</formula>
    </cfRule>
    <cfRule type="cellIs" dxfId="9" priority="7" operator="greaterThan">
      <formula>0</formula>
    </cfRule>
  </conditionalFormatting>
  <hyperlinks>
    <hyperlink ref="A2" r:id="rId1" location="'MENU%20fr'!B2" xr:uid="{00000000-0004-0000-0B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F4E79"/>
  </sheetPr>
  <dimension ref="A1:I17"/>
  <sheetViews>
    <sheetView showGridLines="0" zoomScaleNormal="100" workbookViewId="0">
      <pane ySplit="5" topLeftCell="A6" activePane="bottomLeft" state="frozen"/>
      <selection pane="bottomLeft" sqref="A1:I1"/>
    </sheetView>
  </sheetViews>
  <sheetFormatPr baseColWidth="10" defaultColWidth="8.6640625" defaultRowHeight="14.4" x14ac:dyDescent="0.3"/>
  <cols>
    <col min="1" max="1" width="18" customWidth="1"/>
    <col min="2" max="2" width="25" customWidth="1"/>
    <col min="3" max="3" width="22" customWidth="1"/>
    <col min="4" max="4" width="14" customWidth="1"/>
    <col min="5" max="5" width="22" customWidth="1"/>
    <col min="6" max="6" width="16" customWidth="1"/>
    <col min="7" max="7" width="14" customWidth="1"/>
    <col min="8" max="8" width="10" customWidth="1"/>
    <col min="9" max="9" width="16" customWidth="1"/>
  </cols>
  <sheetData>
    <row r="1" spans="1:9" ht="36" customHeight="1" x14ac:dyDescent="0.3">
      <c r="A1" s="98" t="s">
        <v>251</v>
      </c>
      <c r="B1" s="98"/>
      <c r="C1" s="98"/>
      <c r="D1" s="98"/>
      <c r="E1" s="98"/>
      <c r="F1" s="98"/>
      <c r="G1" s="98"/>
      <c r="H1" s="98"/>
      <c r="I1" s="98"/>
    </row>
    <row r="2" spans="1:9" ht="15" customHeight="1" x14ac:dyDescent="0.3">
      <c r="A2" s="15" t="s">
        <v>22</v>
      </c>
    </row>
    <row r="3" spans="1:9" ht="15" customHeight="1" x14ac:dyDescent="0.3">
      <c r="A3" s="111" t="s">
        <v>102</v>
      </c>
      <c r="B3" s="111"/>
      <c r="C3" s="111"/>
      <c r="D3" s="112">
        <f>'0. Profil'!C5</f>
        <v>0</v>
      </c>
      <c r="E3" s="112"/>
      <c r="F3" s="112"/>
      <c r="G3" s="112"/>
    </row>
    <row r="4" spans="1:9" ht="15" customHeight="1" x14ac:dyDescent="0.3">
      <c r="A4" s="105" t="s">
        <v>252</v>
      </c>
      <c r="B4" s="105"/>
      <c r="C4" s="105"/>
      <c r="D4" s="105"/>
      <c r="E4" s="105"/>
      <c r="F4" s="105"/>
      <c r="G4" s="105"/>
      <c r="H4" s="105"/>
      <c r="I4" s="105"/>
    </row>
    <row r="5" spans="1:9" ht="31.5" customHeight="1" x14ac:dyDescent="0.3">
      <c r="A5" s="22" t="s">
        <v>253</v>
      </c>
      <c r="B5" s="22" t="s">
        <v>175</v>
      </c>
      <c r="C5" s="22" t="s">
        <v>254</v>
      </c>
      <c r="D5" s="22" t="s">
        <v>255</v>
      </c>
      <c r="E5" s="22" t="s">
        <v>256</v>
      </c>
      <c r="F5" s="22" t="s">
        <v>257</v>
      </c>
      <c r="G5" s="22" t="s">
        <v>258</v>
      </c>
      <c r="H5" s="22" t="s">
        <v>259</v>
      </c>
      <c r="I5" s="22" t="s">
        <v>216</v>
      </c>
    </row>
    <row r="6" spans="1:9" ht="21.75" customHeight="1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21.75" customHeight="1" x14ac:dyDescent="0.3">
      <c r="A7" s="24"/>
      <c r="B7" s="24"/>
      <c r="C7" s="24"/>
      <c r="D7" s="24"/>
      <c r="E7" s="24"/>
      <c r="F7" s="24"/>
      <c r="G7" s="24"/>
      <c r="H7" s="24"/>
      <c r="I7" s="24"/>
    </row>
    <row r="8" spans="1:9" ht="21.75" customHeight="1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21.75" customHeight="1" x14ac:dyDescent="0.3">
      <c r="A9" s="24"/>
      <c r="B9" s="24"/>
      <c r="C9" s="24"/>
      <c r="D9" s="24"/>
      <c r="E9" s="24"/>
      <c r="F9" s="24"/>
      <c r="G9" s="24"/>
      <c r="H9" s="24"/>
      <c r="I9" s="24"/>
    </row>
    <row r="10" spans="1:9" ht="21.75" customHeight="1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21.75" customHeight="1" x14ac:dyDescent="0.3">
      <c r="A11" s="24"/>
      <c r="B11" s="24"/>
      <c r="C11" s="24"/>
      <c r="D11" s="24"/>
      <c r="E11" s="24"/>
      <c r="F11" s="24"/>
      <c r="G11" s="24"/>
      <c r="H11" s="24"/>
      <c r="I11" s="24"/>
    </row>
    <row r="12" spans="1:9" ht="21.75" customHeight="1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21.75" customHeight="1" x14ac:dyDescent="0.3">
      <c r="A13" s="24"/>
      <c r="B13" s="24"/>
      <c r="C13" s="24"/>
      <c r="D13" s="24"/>
      <c r="E13" s="24"/>
      <c r="F13" s="24"/>
      <c r="G13" s="24"/>
      <c r="H13" s="24"/>
      <c r="I13" s="24"/>
    </row>
    <row r="14" spans="1:9" ht="21.75" customHeight="1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21.75" customHeight="1" x14ac:dyDescent="0.3">
      <c r="A15" s="24"/>
      <c r="B15" s="24"/>
      <c r="C15" s="24"/>
      <c r="D15" s="24"/>
      <c r="E15" s="24"/>
      <c r="F15" s="24"/>
      <c r="G15" s="24"/>
      <c r="H15" s="24"/>
      <c r="I15" s="24"/>
    </row>
    <row r="16" spans="1:9" ht="21.75" customHeight="1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21.75" customHeight="1" x14ac:dyDescent="0.3">
      <c r="A17" s="24"/>
      <c r="B17" s="24"/>
      <c r="C17" s="24"/>
      <c r="D17" s="24"/>
      <c r="E17" s="24"/>
      <c r="F17" s="24"/>
      <c r="G17" s="24"/>
      <c r="H17" s="24"/>
      <c r="I17" s="24"/>
    </row>
  </sheetData>
  <mergeCells count="4">
    <mergeCell ref="A1:I1"/>
    <mergeCell ref="A3:C3"/>
    <mergeCell ref="D3:G3"/>
    <mergeCell ref="A4:I4"/>
  </mergeCells>
  <hyperlinks>
    <hyperlink ref="A2" r:id="rId1" location="'MENU%20fr'!B2" xr:uid="{00000000-0004-0000-0C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F4E79"/>
  </sheetPr>
  <dimension ref="A1:I13"/>
  <sheetViews>
    <sheetView showGridLines="0" zoomScaleNormal="100" workbookViewId="0">
      <pane ySplit="5" topLeftCell="A6" activePane="bottomLeft" state="frozen"/>
      <selection pane="bottomLeft" sqref="A1:I1"/>
    </sheetView>
  </sheetViews>
  <sheetFormatPr baseColWidth="10" defaultColWidth="8.6640625" defaultRowHeight="14.4" x14ac:dyDescent="0.3"/>
  <cols>
    <col min="1" max="1" width="18" customWidth="1"/>
    <col min="2" max="2" width="14" customWidth="1"/>
    <col min="3" max="3" width="32" customWidth="1"/>
    <col min="4" max="4" width="20" customWidth="1"/>
    <col min="5" max="5" width="22" customWidth="1"/>
    <col min="6" max="6" width="12" customWidth="1"/>
    <col min="7" max="8" width="18" customWidth="1"/>
    <col min="9" max="9" width="22" customWidth="1"/>
  </cols>
  <sheetData>
    <row r="1" spans="1:9" ht="36" customHeight="1" x14ac:dyDescent="0.3">
      <c r="A1" s="98" t="s">
        <v>260</v>
      </c>
      <c r="B1" s="98"/>
      <c r="C1" s="98"/>
      <c r="D1" s="98"/>
      <c r="E1" s="98"/>
      <c r="F1" s="98"/>
      <c r="G1" s="98"/>
      <c r="H1" s="98"/>
      <c r="I1" s="98"/>
    </row>
    <row r="2" spans="1:9" ht="15" customHeight="1" x14ac:dyDescent="0.3">
      <c r="A2" s="15" t="s">
        <v>22</v>
      </c>
    </row>
    <row r="3" spans="1:9" ht="15" customHeight="1" x14ac:dyDescent="0.3">
      <c r="A3" s="111" t="s">
        <v>102</v>
      </c>
      <c r="B3" s="111"/>
      <c r="C3" s="111"/>
      <c r="D3" s="112">
        <f>'0. Profil'!C5</f>
        <v>0</v>
      </c>
      <c r="E3" s="112"/>
      <c r="F3" s="112"/>
      <c r="G3" s="112"/>
    </row>
    <row r="4" spans="1:9" ht="15" customHeight="1" x14ac:dyDescent="0.3">
      <c r="A4" s="105" t="s">
        <v>261</v>
      </c>
      <c r="B4" s="105"/>
      <c r="C4" s="105"/>
      <c r="D4" s="105"/>
      <c r="E4" s="105"/>
      <c r="F4" s="105"/>
      <c r="G4" s="105"/>
      <c r="H4" s="105"/>
      <c r="I4" s="105"/>
    </row>
    <row r="5" spans="1:9" ht="31.5" customHeight="1" x14ac:dyDescent="0.3">
      <c r="A5" s="22" t="s">
        <v>33</v>
      </c>
      <c r="B5" s="22" t="s">
        <v>262</v>
      </c>
      <c r="C5" s="22" t="s">
        <v>263</v>
      </c>
      <c r="D5" s="22" t="s">
        <v>264</v>
      </c>
      <c r="E5" s="22" t="s">
        <v>227</v>
      </c>
      <c r="F5" s="22" t="s">
        <v>215</v>
      </c>
      <c r="G5" s="22" t="s">
        <v>265</v>
      </c>
      <c r="H5" s="22" t="s">
        <v>266</v>
      </c>
      <c r="I5" s="22" t="s">
        <v>267</v>
      </c>
    </row>
    <row r="6" spans="1:9" ht="21.75" customHeight="1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21.75" customHeight="1" x14ac:dyDescent="0.3">
      <c r="A7" s="24"/>
      <c r="B7" s="24"/>
      <c r="C7" s="24"/>
      <c r="D7" s="24"/>
      <c r="E7" s="24"/>
      <c r="F7" s="24"/>
      <c r="G7" s="24"/>
      <c r="H7" s="24"/>
      <c r="I7" s="24"/>
    </row>
    <row r="8" spans="1:9" ht="21.75" customHeight="1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21.75" customHeight="1" x14ac:dyDescent="0.3">
      <c r="A9" s="24"/>
      <c r="B9" s="24"/>
      <c r="C9" s="24"/>
      <c r="D9" s="24"/>
      <c r="E9" s="24"/>
      <c r="F9" s="24"/>
      <c r="G9" s="24"/>
      <c r="H9" s="24"/>
      <c r="I9" s="24"/>
    </row>
    <row r="10" spans="1:9" ht="21.75" customHeight="1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21.75" customHeight="1" x14ac:dyDescent="0.3">
      <c r="A11" s="24"/>
      <c r="B11" s="24"/>
      <c r="C11" s="24"/>
      <c r="D11" s="24"/>
      <c r="E11" s="24"/>
      <c r="F11" s="24"/>
      <c r="G11" s="24"/>
      <c r="H11" s="24"/>
      <c r="I11" s="24"/>
    </row>
    <row r="12" spans="1:9" ht="21.75" customHeight="1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21.75" customHeight="1" x14ac:dyDescent="0.3">
      <c r="A13" s="24"/>
      <c r="B13" s="24"/>
      <c r="C13" s="24"/>
      <c r="D13" s="24"/>
      <c r="E13" s="24"/>
      <c r="F13" s="24"/>
      <c r="G13" s="24"/>
      <c r="H13" s="24"/>
      <c r="I13" s="24"/>
    </row>
  </sheetData>
  <mergeCells count="4">
    <mergeCell ref="A1:I1"/>
    <mergeCell ref="A3:C3"/>
    <mergeCell ref="D3:G3"/>
    <mergeCell ref="A4:I4"/>
  </mergeCells>
  <hyperlinks>
    <hyperlink ref="A2" r:id="rId1" location="'MENU%20fr'!B2" xr:uid="{00000000-0004-0000-0D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A5276"/>
  </sheetPr>
  <dimension ref="A1:N23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J1"/>
    </sheetView>
  </sheetViews>
  <sheetFormatPr baseColWidth="10" defaultColWidth="8.6640625" defaultRowHeight="14.4" x14ac:dyDescent="0.3"/>
  <cols>
    <col min="1" max="1" width="6" customWidth="1"/>
    <col min="2" max="2" width="28" customWidth="1"/>
    <col min="3" max="5" width="12" customWidth="1"/>
    <col min="6" max="6" width="22" customWidth="1"/>
    <col min="8" max="8" width="10" customWidth="1"/>
    <col min="9" max="9" width="10.5546875" customWidth="1"/>
    <col min="10" max="10" width="20" customWidth="1"/>
    <col min="12" max="14" width="13" customWidth="1"/>
  </cols>
  <sheetData>
    <row r="1" spans="1:14" ht="36" customHeight="1" x14ac:dyDescent="0.3">
      <c r="A1" s="98" t="s">
        <v>268</v>
      </c>
      <c r="B1" s="98"/>
      <c r="C1" s="98"/>
      <c r="D1" s="98"/>
      <c r="E1" s="98"/>
      <c r="F1" s="98"/>
      <c r="G1" s="98"/>
      <c r="H1" s="98"/>
      <c r="I1" s="98"/>
      <c r="J1" s="98"/>
    </row>
    <row r="2" spans="1:14" ht="15" customHeight="1" x14ac:dyDescent="0.3">
      <c r="A2" s="15" t="s">
        <v>22</v>
      </c>
      <c r="L2" s="123" t="s">
        <v>269</v>
      </c>
      <c r="M2" s="123"/>
      <c r="N2" s="123"/>
    </row>
    <row r="3" spans="1:14" ht="15" customHeight="1" x14ac:dyDescent="0.3">
      <c r="A3" s="117" t="s">
        <v>102</v>
      </c>
      <c r="B3" s="117"/>
      <c r="C3" s="117"/>
      <c r="D3" s="134">
        <f>'0. Profil'!C5</f>
        <v>0</v>
      </c>
      <c r="E3" s="134"/>
      <c r="F3" s="134"/>
      <c r="G3" s="117" t="s">
        <v>270</v>
      </c>
      <c r="H3" s="117"/>
      <c r="I3" s="62">
        <f ca="1">TODAY()</f>
        <v>46186</v>
      </c>
      <c r="L3" s="63" t="s">
        <v>271</v>
      </c>
      <c r="M3" s="63" t="s">
        <v>272</v>
      </c>
      <c r="N3" s="63" t="s">
        <v>273</v>
      </c>
    </row>
    <row r="4" spans="1:14" x14ac:dyDescent="0.3">
      <c r="L4" s="64" t="s">
        <v>274</v>
      </c>
      <c r="M4" s="65">
        <f>IFERROR(SUM($C$7:C7),0)</f>
        <v>850000</v>
      </c>
      <c r="N4" s="66">
        <f>IFERROR(SUM($E$7:E7),0)</f>
        <v>620000</v>
      </c>
    </row>
    <row r="5" spans="1:14" ht="36" customHeight="1" x14ac:dyDescent="0.3">
      <c r="A5" s="116" t="s">
        <v>111</v>
      </c>
      <c r="B5" s="116" t="s">
        <v>275</v>
      </c>
      <c r="C5" s="135" t="s">
        <v>276</v>
      </c>
      <c r="D5" s="135" t="s">
        <v>277</v>
      </c>
      <c r="E5" s="135" t="s">
        <v>278</v>
      </c>
      <c r="F5" s="136" t="s">
        <v>279</v>
      </c>
      <c r="G5" s="136"/>
      <c r="H5" s="113" t="s">
        <v>280</v>
      </c>
      <c r="I5" s="114" t="s">
        <v>281</v>
      </c>
      <c r="J5" s="116" t="s">
        <v>282</v>
      </c>
      <c r="L5" s="67" t="s">
        <v>283</v>
      </c>
      <c r="M5" s="68">
        <f>IFERROR(SUM($C$7:C8),0)</f>
        <v>1470000</v>
      </c>
      <c r="N5" s="69">
        <f>IFERROR(SUM($E$7:E8),0)</f>
        <v>1100000</v>
      </c>
    </row>
    <row r="6" spans="1:14" ht="18" customHeight="1" x14ac:dyDescent="0.3">
      <c r="A6" s="116"/>
      <c r="B6" s="116"/>
      <c r="C6" s="116"/>
      <c r="D6" s="116"/>
      <c r="E6" s="116"/>
      <c r="F6" s="58" t="s">
        <v>284</v>
      </c>
      <c r="G6" s="58" t="s">
        <v>285</v>
      </c>
      <c r="H6" s="113"/>
      <c r="I6" s="113"/>
      <c r="J6" s="113"/>
      <c r="L6" s="64" t="s">
        <v>286</v>
      </c>
      <c r="M6" s="65">
        <f>IFERROR(SUM($C$7:C9),0)</f>
        <v>1890000</v>
      </c>
      <c r="N6" s="66">
        <f>IFERROR(SUM($E$7:E9),0)</f>
        <v>1390000</v>
      </c>
    </row>
    <row r="7" spans="1:14" ht="19.5" customHeight="1" x14ac:dyDescent="0.3">
      <c r="A7" s="70">
        <v>1</v>
      </c>
      <c r="B7" s="42" t="s">
        <v>287</v>
      </c>
      <c r="C7" s="71">
        <v>850000</v>
      </c>
      <c r="D7" s="71">
        <v>750000</v>
      </c>
      <c r="E7" s="71">
        <v>620000</v>
      </c>
      <c r="F7" s="72">
        <f t="shared" ref="F7:F21" si="0">IFERROR(IF(C7=0,"",C7-D7),"")</f>
        <v>100000</v>
      </c>
      <c r="G7" s="72">
        <f t="shared" ref="G7:G21" si="1">IFERROR(IF(C7=0,"",C7-E7),"")</f>
        <v>230000</v>
      </c>
      <c r="H7" s="73" t="str">
        <f t="shared" ref="H7:H21" si="2">IFERROR(IF(C7=0,"",IF(G7/C7&lt;-0.15,"🔴 CRITIQUE",IF(G7/C7&lt;-0.05,"🟡 ALERTE","✅ OK"))),"")</f>
        <v>✅ OK</v>
      </c>
      <c r="I7" s="74">
        <f t="shared" ref="I7:I21" si="3">IFERROR(IF(C7=0,"",E7/C7),"")</f>
        <v>0.72941176470588232</v>
      </c>
      <c r="J7" s="75"/>
      <c r="L7" s="67" t="s">
        <v>288</v>
      </c>
      <c r="M7" s="68">
        <f>IFERROR(SUM($C$7:C10),0)</f>
        <v>2240000</v>
      </c>
      <c r="N7" s="69">
        <f>IFERROR(SUM($E$7:E10),0)</f>
        <v>1630000</v>
      </c>
    </row>
    <row r="8" spans="1:14" ht="19.5" customHeight="1" x14ac:dyDescent="0.3">
      <c r="A8" s="76">
        <v>2</v>
      </c>
      <c r="B8" s="48" t="s">
        <v>289</v>
      </c>
      <c r="C8" s="77">
        <v>620000</v>
      </c>
      <c r="D8" s="77">
        <v>570000</v>
      </c>
      <c r="E8" s="77">
        <v>480000</v>
      </c>
      <c r="F8" s="78">
        <f t="shared" si="0"/>
        <v>50000</v>
      </c>
      <c r="G8" s="78">
        <f t="shared" si="1"/>
        <v>140000</v>
      </c>
      <c r="H8" s="79" t="str">
        <f t="shared" si="2"/>
        <v>✅ OK</v>
      </c>
      <c r="I8" s="80">
        <f t="shared" si="3"/>
        <v>0.77419354838709675</v>
      </c>
      <c r="J8" s="81"/>
      <c r="L8" s="64" t="s">
        <v>290</v>
      </c>
      <c r="M8" s="65">
        <f>IFERROR(SUM($C$7:C11),0)</f>
        <v>2520000</v>
      </c>
      <c r="N8" s="66">
        <f>IFERROR(SUM($E$7:E11),0)</f>
        <v>1825000</v>
      </c>
    </row>
    <row r="9" spans="1:14" ht="19.5" customHeight="1" x14ac:dyDescent="0.3">
      <c r="A9" s="70">
        <v>3</v>
      </c>
      <c r="B9" s="42" t="s">
        <v>291</v>
      </c>
      <c r="C9" s="71">
        <v>420000</v>
      </c>
      <c r="D9" s="71">
        <v>360000</v>
      </c>
      <c r="E9" s="71">
        <v>290000</v>
      </c>
      <c r="F9" s="72">
        <f t="shared" si="0"/>
        <v>60000</v>
      </c>
      <c r="G9" s="72">
        <f t="shared" si="1"/>
        <v>130000</v>
      </c>
      <c r="H9" s="73" t="str">
        <f t="shared" si="2"/>
        <v>✅ OK</v>
      </c>
      <c r="I9" s="74">
        <f t="shared" si="3"/>
        <v>0.69047619047619047</v>
      </c>
      <c r="J9" s="75"/>
      <c r="L9" s="67" t="s">
        <v>292</v>
      </c>
      <c r="M9" s="68">
        <f>IFERROR(SUM($C$7:C12),0)</f>
        <v>2715000</v>
      </c>
      <c r="N9" s="69">
        <f>IFERROR(SUM($E$7:E12),0)</f>
        <v>1950000</v>
      </c>
    </row>
    <row r="10" spans="1:14" ht="19.5" customHeight="1" x14ac:dyDescent="0.3">
      <c r="A10" s="76">
        <v>4</v>
      </c>
      <c r="B10" s="48" t="s">
        <v>293</v>
      </c>
      <c r="C10" s="77">
        <v>350000</v>
      </c>
      <c r="D10" s="77">
        <v>300000</v>
      </c>
      <c r="E10" s="77">
        <v>240000</v>
      </c>
      <c r="F10" s="78">
        <f t="shared" si="0"/>
        <v>50000</v>
      </c>
      <c r="G10" s="78">
        <f t="shared" si="1"/>
        <v>110000</v>
      </c>
      <c r="H10" s="79" t="str">
        <f t="shared" si="2"/>
        <v>✅ OK</v>
      </c>
      <c r="I10" s="80">
        <f t="shared" si="3"/>
        <v>0.68571428571428572</v>
      </c>
      <c r="J10" s="81"/>
      <c r="L10" s="64" t="s">
        <v>294</v>
      </c>
      <c r="M10" s="65">
        <f>IFERROR(SUM($C$7:C13),0)</f>
        <v>3265000</v>
      </c>
      <c r="N10" s="66">
        <f>IFERROR(SUM($E$7:E13),0)</f>
        <v>2330000</v>
      </c>
    </row>
    <row r="11" spans="1:14" ht="19.5" customHeight="1" x14ac:dyDescent="0.3">
      <c r="A11" s="70">
        <v>5</v>
      </c>
      <c r="B11" s="42" t="s">
        <v>295</v>
      </c>
      <c r="C11" s="71">
        <v>280000</v>
      </c>
      <c r="D11" s="71">
        <v>240000</v>
      </c>
      <c r="E11" s="71">
        <v>195000</v>
      </c>
      <c r="F11" s="72">
        <f t="shared" si="0"/>
        <v>40000</v>
      </c>
      <c r="G11" s="72">
        <f t="shared" si="1"/>
        <v>85000</v>
      </c>
      <c r="H11" s="73" t="str">
        <f t="shared" si="2"/>
        <v>✅ OK</v>
      </c>
      <c r="I11" s="74">
        <f t="shared" si="3"/>
        <v>0.6964285714285714</v>
      </c>
      <c r="J11" s="75"/>
      <c r="L11" s="67" t="s">
        <v>296</v>
      </c>
      <c r="M11" s="68">
        <f>IFERROR(SUM($C$7:C14),0)</f>
        <v>3585000</v>
      </c>
      <c r="N11" s="69">
        <f>IFERROR(SUM($E$7:E14),0)</f>
        <v>2540000</v>
      </c>
    </row>
    <row r="12" spans="1:14" ht="19.5" customHeight="1" x14ac:dyDescent="0.3">
      <c r="A12" s="76">
        <v>6</v>
      </c>
      <c r="B12" s="48" t="s">
        <v>297</v>
      </c>
      <c r="C12" s="77">
        <v>195000</v>
      </c>
      <c r="D12" s="77">
        <v>160000</v>
      </c>
      <c r="E12" s="77">
        <v>125000</v>
      </c>
      <c r="F12" s="78">
        <f t="shared" si="0"/>
        <v>35000</v>
      </c>
      <c r="G12" s="78">
        <f t="shared" si="1"/>
        <v>70000</v>
      </c>
      <c r="H12" s="79" t="str">
        <f t="shared" si="2"/>
        <v>✅ OK</v>
      </c>
      <c r="I12" s="80">
        <f t="shared" si="3"/>
        <v>0.64102564102564108</v>
      </c>
      <c r="J12" s="81"/>
      <c r="L12" s="64" t="s">
        <v>298</v>
      </c>
      <c r="M12" s="65">
        <f>IFERROR(SUM($C$7:C15),0)</f>
        <v>3735000</v>
      </c>
      <c r="N12" s="66">
        <f>IFERROR(SUM($E$7:E15),0)</f>
        <v>2630000</v>
      </c>
    </row>
    <row r="13" spans="1:14" ht="19.5" customHeight="1" x14ac:dyDescent="0.3">
      <c r="A13" s="70">
        <v>7</v>
      </c>
      <c r="B13" s="42" t="s">
        <v>299</v>
      </c>
      <c r="C13" s="71">
        <v>550000</v>
      </c>
      <c r="D13" s="71">
        <v>470000</v>
      </c>
      <c r="E13" s="71">
        <v>380000</v>
      </c>
      <c r="F13" s="72">
        <f t="shared" si="0"/>
        <v>80000</v>
      </c>
      <c r="G13" s="72">
        <f t="shared" si="1"/>
        <v>170000</v>
      </c>
      <c r="H13" s="73" t="str">
        <f t="shared" si="2"/>
        <v>✅ OK</v>
      </c>
      <c r="I13" s="74">
        <f t="shared" si="3"/>
        <v>0.69090909090909092</v>
      </c>
      <c r="J13" s="75"/>
      <c r="L13" s="67" t="s">
        <v>300</v>
      </c>
      <c r="M13" s="68">
        <f>IFERROR(SUM($C$7:C16),0)</f>
        <v>3975000</v>
      </c>
      <c r="N13" s="69">
        <f>IFERROR(SUM($E$7:E16),0)</f>
        <v>2795000</v>
      </c>
    </row>
    <row r="14" spans="1:14" ht="19.5" customHeight="1" x14ac:dyDescent="0.3">
      <c r="A14" s="76">
        <v>8</v>
      </c>
      <c r="B14" s="48" t="s">
        <v>301</v>
      </c>
      <c r="C14" s="77">
        <v>320000</v>
      </c>
      <c r="D14" s="77">
        <v>275000</v>
      </c>
      <c r="E14" s="77">
        <v>210000</v>
      </c>
      <c r="F14" s="78">
        <f t="shared" si="0"/>
        <v>45000</v>
      </c>
      <c r="G14" s="78">
        <f t="shared" si="1"/>
        <v>110000</v>
      </c>
      <c r="H14" s="79" t="str">
        <f t="shared" si="2"/>
        <v>✅ OK</v>
      </c>
      <c r="I14" s="80">
        <f t="shared" si="3"/>
        <v>0.65625</v>
      </c>
      <c r="J14" s="81"/>
      <c r="L14" s="64" t="s">
        <v>302</v>
      </c>
      <c r="M14" s="65">
        <f>IFERROR(SUM($C$7:C17),0)</f>
        <v>4155000</v>
      </c>
      <c r="N14" s="66">
        <f>IFERROR(SUM($E$7:E17),0)</f>
        <v>2905000</v>
      </c>
    </row>
    <row r="15" spans="1:14" ht="19.5" customHeight="1" x14ac:dyDescent="0.3">
      <c r="A15" s="70">
        <v>9</v>
      </c>
      <c r="B15" s="42" t="s">
        <v>303</v>
      </c>
      <c r="C15" s="71">
        <v>150000</v>
      </c>
      <c r="D15" s="71">
        <v>120000</v>
      </c>
      <c r="E15" s="71">
        <v>90000</v>
      </c>
      <c r="F15" s="72">
        <f t="shared" si="0"/>
        <v>30000</v>
      </c>
      <c r="G15" s="72">
        <f t="shared" si="1"/>
        <v>60000</v>
      </c>
      <c r="H15" s="73" t="str">
        <f t="shared" si="2"/>
        <v>✅ OK</v>
      </c>
      <c r="I15" s="74">
        <f t="shared" si="3"/>
        <v>0.6</v>
      </c>
      <c r="J15" s="75"/>
      <c r="L15" s="67" t="s">
        <v>304</v>
      </c>
      <c r="M15" s="68">
        <f>IFERROR(SUM($C$7:C18),0)</f>
        <v>4275000</v>
      </c>
      <c r="N15" s="69">
        <f>IFERROR(SUM($E$7:E18),0)</f>
        <v>2985000</v>
      </c>
    </row>
    <row r="16" spans="1:14" ht="19.5" customHeight="1" x14ac:dyDescent="0.3">
      <c r="A16" s="76">
        <v>10</v>
      </c>
      <c r="B16" s="48" t="s">
        <v>305</v>
      </c>
      <c r="C16" s="77">
        <v>240000</v>
      </c>
      <c r="D16" s="77">
        <v>210000</v>
      </c>
      <c r="E16" s="77">
        <v>165000</v>
      </c>
      <c r="F16" s="78">
        <f t="shared" si="0"/>
        <v>30000</v>
      </c>
      <c r="G16" s="78">
        <f t="shared" si="1"/>
        <v>75000</v>
      </c>
      <c r="H16" s="79" t="str">
        <f t="shared" si="2"/>
        <v>✅ OK</v>
      </c>
      <c r="I16" s="80">
        <f t="shared" si="3"/>
        <v>0.6875</v>
      </c>
      <c r="J16" s="81"/>
      <c r="L16" s="64" t="s">
        <v>306</v>
      </c>
      <c r="M16" s="65">
        <f>IFERROR(SUM($C$7:C19),0)</f>
        <v>4370000</v>
      </c>
      <c r="N16" s="66">
        <f>IFERROR(SUM($E$7:E19),0)</f>
        <v>3050000</v>
      </c>
    </row>
    <row r="17" spans="1:14" ht="19.5" customHeight="1" x14ac:dyDescent="0.3">
      <c r="A17" s="70">
        <v>11</v>
      </c>
      <c r="B17" s="42" t="s">
        <v>307</v>
      </c>
      <c r="C17" s="71">
        <v>180000</v>
      </c>
      <c r="D17" s="71">
        <v>145000</v>
      </c>
      <c r="E17" s="71">
        <v>110000</v>
      </c>
      <c r="F17" s="72">
        <f t="shared" si="0"/>
        <v>35000</v>
      </c>
      <c r="G17" s="72">
        <f t="shared" si="1"/>
        <v>70000</v>
      </c>
      <c r="H17" s="73" t="str">
        <f t="shared" si="2"/>
        <v>✅ OK</v>
      </c>
      <c r="I17" s="74">
        <f t="shared" si="3"/>
        <v>0.61111111111111116</v>
      </c>
      <c r="J17" s="75"/>
      <c r="L17" s="67" t="s">
        <v>308</v>
      </c>
      <c r="M17" s="68">
        <f>IFERROR(SUM($C$7:C20),0)</f>
        <v>4680000</v>
      </c>
      <c r="N17" s="69">
        <f>IFERROR(SUM($E$7:E20),0)</f>
        <v>3260000</v>
      </c>
    </row>
    <row r="18" spans="1:14" ht="19.5" customHeight="1" x14ac:dyDescent="0.3">
      <c r="A18" s="76">
        <v>12</v>
      </c>
      <c r="B18" s="48" t="s">
        <v>309</v>
      </c>
      <c r="C18" s="77">
        <v>120000</v>
      </c>
      <c r="D18" s="77">
        <v>100000</v>
      </c>
      <c r="E18" s="77">
        <v>80000</v>
      </c>
      <c r="F18" s="78">
        <f t="shared" si="0"/>
        <v>20000</v>
      </c>
      <c r="G18" s="78">
        <f t="shared" si="1"/>
        <v>40000</v>
      </c>
      <c r="H18" s="79" t="str">
        <f t="shared" si="2"/>
        <v>✅ OK</v>
      </c>
      <c r="I18" s="80">
        <f t="shared" si="3"/>
        <v>0.66666666666666663</v>
      </c>
      <c r="J18" s="81"/>
      <c r="L18" s="64" t="s">
        <v>310</v>
      </c>
      <c r="M18" s="65">
        <f>IFERROR(SUM($C$7:C21),0)</f>
        <v>4830000</v>
      </c>
      <c r="N18" s="66">
        <f>IFERROR(SUM($E$7:E21),0)</f>
        <v>3355000</v>
      </c>
    </row>
    <row r="19" spans="1:14" ht="19.5" customHeight="1" x14ac:dyDescent="0.3">
      <c r="A19" s="70">
        <v>13</v>
      </c>
      <c r="B19" s="42" t="s">
        <v>311</v>
      </c>
      <c r="C19" s="71">
        <v>95000</v>
      </c>
      <c r="D19" s="71">
        <v>80000</v>
      </c>
      <c r="E19" s="71">
        <v>65000</v>
      </c>
      <c r="F19" s="72">
        <f t="shared" si="0"/>
        <v>15000</v>
      </c>
      <c r="G19" s="72">
        <f t="shared" si="1"/>
        <v>30000</v>
      </c>
      <c r="H19" s="73" t="str">
        <f t="shared" si="2"/>
        <v>✅ OK</v>
      </c>
      <c r="I19" s="74">
        <f t="shared" si="3"/>
        <v>0.68421052631578949</v>
      </c>
      <c r="J19" s="75"/>
    </row>
    <row r="20" spans="1:14" ht="19.5" customHeight="1" x14ac:dyDescent="0.3">
      <c r="A20" s="76">
        <v>14</v>
      </c>
      <c r="B20" s="48" t="s">
        <v>312</v>
      </c>
      <c r="C20" s="77">
        <v>310000</v>
      </c>
      <c r="D20" s="77">
        <v>260000</v>
      </c>
      <c r="E20" s="77">
        <v>210000</v>
      </c>
      <c r="F20" s="78">
        <f t="shared" si="0"/>
        <v>50000</v>
      </c>
      <c r="G20" s="78">
        <f t="shared" si="1"/>
        <v>100000</v>
      </c>
      <c r="H20" s="79" t="str">
        <f t="shared" si="2"/>
        <v>✅ OK</v>
      </c>
      <c r="I20" s="80">
        <f t="shared" si="3"/>
        <v>0.67741935483870963</v>
      </c>
      <c r="J20" s="81"/>
    </row>
    <row r="21" spans="1:14" ht="19.5" customHeight="1" x14ac:dyDescent="0.3">
      <c r="A21" s="70">
        <v>15</v>
      </c>
      <c r="B21" s="42" t="s">
        <v>313</v>
      </c>
      <c r="C21" s="71">
        <v>150000</v>
      </c>
      <c r="D21" s="71">
        <v>125000</v>
      </c>
      <c r="E21" s="71">
        <v>95000</v>
      </c>
      <c r="F21" s="72">
        <f t="shared" si="0"/>
        <v>25000</v>
      </c>
      <c r="G21" s="72">
        <f t="shared" si="1"/>
        <v>55000</v>
      </c>
      <c r="H21" s="73" t="str">
        <f t="shared" si="2"/>
        <v>✅ OK</v>
      </c>
      <c r="I21" s="74">
        <f t="shared" si="3"/>
        <v>0.6333333333333333</v>
      </c>
      <c r="J21" s="75"/>
    </row>
    <row r="23" spans="1:14" ht="24" customHeight="1" x14ac:dyDescent="0.3">
      <c r="A23" s="127" t="s">
        <v>314</v>
      </c>
      <c r="B23" s="127"/>
      <c r="C23" s="82">
        <f>SUM(C7:C21)</f>
        <v>4830000</v>
      </c>
      <c r="D23" s="82">
        <f>SUM(D7:D21)</f>
        <v>4165000</v>
      </c>
      <c r="E23" s="82">
        <f>SUM(E7:E21)</f>
        <v>3355000</v>
      </c>
      <c r="F23" s="82">
        <f>C23-D23</f>
        <v>665000</v>
      </c>
      <c r="G23" s="82">
        <f>C23-E23</f>
        <v>1475000</v>
      </c>
      <c r="I23" s="83">
        <f>IFERROR(E23/C23,"")</f>
        <v>0.69461697722567284</v>
      </c>
    </row>
  </sheetData>
  <mergeCells count="15">
    <mergeCell ref="F5:G5"/>
    <mergeCell ref="H5:H6"/>
    <mergeCell ref="I5:I6"/>
    <mergeCell ref="J5:J6"/>
    <mergeCell ref="A23:B23"/>
    <mergeCell ref="A5:A6"/>
    <mergeCell ref="B5:B6"/>
    <mergeCell ref="C5:C6"/>
    <mergeCell ref="D5:D6"/>
    <mergeCell ref="E5:E6"/>
    <mergeCell ref="A1:J1"/>
    <mergeCell ref="L2:N2"/>
    <mergeCell ref="A3:C3"/>
    <mergeCell ref="D3:F3"/>
    <mergeCell ref="G3:H3"/>
  </mergeCells>
  <conditionalFormatting sqref="F7:F21">
    <cfRule type="cellIs" dxfId="8" priority="4" operator="lessThan">
      <formula>0</formula>
    </cfRule>
  </conditionalFormatting>
  <conditionalFormatting sqref="G7:G21">
    <cfRule type="cellIs" dxfId="7" priority="2" operator="lessThan">
      <formula>0</formula>
    </cfRule>
    <cfRule type="cellIs" dxfId="6" priority="3" operator="greaterThanOrEqual">
      <formula>0</formula>
    </cfRule>
  </conditionalFormatting>
  <conditionalFormatting sqref="I7:I21">
    <cfRule type="dataBar" priority="5">
      <dataBar>
        <cfvo type="num" val="0"/>
        <cfvo type="num" val="1"/>
        <color rgb="FF00B4D8"/>
      </dataBar>
      <extLst>
        <ext xmlns:x14="http://schemas.microsoft.com/office/spreadsheetml/2009/9/main" uri="{B025F937-C7B1-47D3-B67F-A62EFF666E3E}">
          <x14:id>{C05F307B-AA53-4255-9116-10D2C2CFB84E}</x14:id>
        </ext>
      </extLst>
    </cfRule>
  </conditionalFormatting>
  <hyperlinks>
    <hyperlink ref="A2" r:id="rId1" location="'MENU%20fr'!B2" xr:uid="{00000000-0004-0000-0E00-000000000000}"/>
  </hyperlinks>
  <pageMargins left="0.75" right="0.75" top="1" bottom="1" header="0.511811023622047" footer="0.511811023622047"/>
  <pageSetup paperSize="9" orientation="portrait" horizontalDpi="300" verticalDpi="300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5F307B-AA53-4255-9116-10D2C2CFB84E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00B4D8"/>
            </x14:dataBar>
          </x14:cfRule>
          <xm:sqref>I7:I21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4D8"/>
  </sheetPr>
  <dimension ref="A1:T36"/>
  <sheetViews>
    <sheetView showGridLines="0" zoomScaleNormal="100" workbookViewId="0">
      <pane ySplit="4" topLeftCell="A10" activePane="bottomLeft" state="frozen"/>
      <selection pane="bottomLeft" activeCell="D20" sqref="D20:F21"/>
    </sheetView>
  </sheetViews>
  <sheetFormatPr baseColWidth="10" defaultColWidth="8.6640625" defaultRowHeight="14.4" x14ac:dyDescent="0.3"/>
  <cols>
    <col min="1" max="1" width="2" customWidth="1"/>
    <col min="2" max="2" width="32" customWidth="1"/>
    <col min="3" max="3" width="16" customWidth="1"/>
    <col min="4" max="4" width="12" customWidth="1"/>
    <col min="5" max="15" width="8" customWidth="1"/>
  </cols>
  <sheetData>
    <row r="1" spans="1:15" ht="43.5" customHeight="1" x14ac:dyDescent="0.3">
      <c r="A1" s="137" t="s">
        <v>315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</row>
    <row r="2" spans="1:15" ht="15" customHeight="1" x14ac:dyDescent="0.3">
      <c r="A2" s="84" t="s">
        <v>22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</row>
    <row r="3" spans="1:15" ht="21.75" customHeight="1" x14ac:dyDescent="0.3">
      <c r="A3" s="138" t="s">
        <v>102</v>
      </c>
      <c r="B3" s="138"/>
      <c r="C3" s="138"/>
      <c r="D3" s="139">
        <f>'0. Profil'!C5</f>
        <v>0</v>
      </c>
      <c r="E3" s="139"/>
      <c r="F3" s="139"/>
      <c r="G3" s="139"/>
      <c r="H3" s="140" t="s">
        <v>316</v>
      </c>
      <c r="I3" s="140"/>
      <c r="J3" s="140"/>
      <c r="K3" s="141">
        <f>'0. Profil'!C7</f>
        <v>0</v>
      </c>
      <c r="L3" s="141"/>
      <c r="M3" s="141"/>
      <c r="N3" s="142">
        <f ca="1">TODAY()</f>
        <v>46186</v>
      </c>
      <c r="O3" s="142"/>
    </row>
    <row r="5" spans="1:15" ht="15" customHeight="1" x14ac:dyDescent="0.3">
      <c r="A5" s="105" t="s">
        <v>317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</row>
    <row r="6" spans="1:15" ht="24" customHeight="1" x14ac:dyDescent="0.3">
      <c r="A6" s="143" t="s">
        <v>318</v>
      </c>
      <c r="B6" s="143"/>
      <c r="C6" s="86">
        <f>'0. Profil'!C17</f>
        <v>0</v>
      </c>
      <c r="D6" s="125" t="s">
        <v>319</v>
      </c>
      <c r="E6" s="125"/>
      <c r="F6" s="125"/>
    </row>
    <row r="7" spans="1:15" ht="24" customHeight="1" x14ac:dyDescent="0.3">
      <c r="A7" s="144" t="s">
        <v>320</v>
      </c>
      <c r="B7" s="144"/>
      <c r="C7" s="86">
        <f>'12. Disbursement Monitoring'!C23</f>
        <v>4830000</v>
      </c>
      <c r="D7" s="125" t="s">
        <v>321</v>
      </c>
      <c r="E7" s="125"/>
      <c r="F7" s="125"/>
    </row>
    <row r="8" spans="1:15" ht="24" customHeight="1" x14ac:dyDescent="0.3">
      <c r="A8" s="143" t="s">
        <v>322</v>
      </c>
      <c r="B8" s="143"/>
      <c r="C8" s="86">
        <f>'12. Disbursement Monitoring'!E23</f>
        <v>3355000</v>
      </c>
      <c r="D8" s="125" t="s">
        <v>323</v>
      </c>
      <c r="E8" s="125"/>
      <c r="F8" s="125"/>
    </row>
    <row r="9" spans="1:15" ht="24" customHeight="1" x14ac:dyDescent="0.3">
      <c r="A9" s="144" t="s">
        <v>324</v>
      </c>
      <c r="B9" s="144"/>
      <c r="C9" s="87">
        <v>0.14000000000000001</v>
      </c>
      <c r="D9" s="125" t="s">
        <v>325</v>
      </c>
      <c r="E9" s="125"/>
      <c r="F9" s="125"/>
    </row>
    <row r="10" spans="1:15" ht="24" customHeight="1" x14ac:dyDescent="0.3">
      <c r="A10" s="143" t="s">
        <v>326</v>
      </c>
      <c r="B10" s="143"/>
      <c r="C10" s="86">
        <f>IFERROR(C6*C9,"")</f>
        <v>0</v>
      </c>
      <c r="D10" s="125" t="s">
        <v>327</v>
      </c>
      <c r="E10" s="125"/>
      <c r="F10" s="125"/>
    </row>
    <row r="11" spans="1:15" ht="24" customHeight="1" x14ac:dyDescent="0.3">
      <c r="A11" s="144" t="s">
        <v>328</v>
      </c>
      <c r="B11" s="144"/>
      <c r="C11" s="88">
        <f>IFERROR(C10-C8,"")</f>
        <v>-3355000</v>
      </c>
      <c r="D11" s="125" t="s">
        <v>329</v>
      </c>
      <c r="E11" s="125"/>
      <c r="F11" s="125"/>
    </row>
    <row r="12" spans="1:15" ht="24" customHeight="1" x14ac:dyDescent="0.3">
      <c r="A12" s="143" t="s">
        <v>330</v>
      </c>
      <c r="B12" s="143"/>
      <c r="C12" s="89">
        <f>IFERROR(C10/C8,"")</f>
        <v>0</v>
      </c>
      <c r="D12" s="125" t="s">
        <v>331</v>
      </c>
      <c r="E12" s="125"/>
      <c r="F12" s="125"/>
    </row>
    <row r="13" spans="1:15" ht="24" customHeight="1" x14ac:dyDescent="0.3">
      <c r="A13" s="144" t="s">
        <v>332</v>
      </c>
      <c r="B13" s="144"/>
      <c r="C13" s="88">
        <f>IFERROR(C10-C7,"")</f>
        <v>-4830000</v>
      </c>
      <c r="D13" s="125" t="s">
        <v>333</v>
      </c>
      <c r="E13" s="125"/>
      <c r="F13" s="125"/>
    </row>
    <row r="14" spans="1:15" ht="24" customHeight="1" x14ac:dyDescent="0.3">
      <c r="A14" s="143" t="s">
        <v>334</v>
      </c>
      <c r="B14" s="143"/>
      <c r="C14" s="89">
        <f>IFERROR(C10/C7,"")</f>
        <v>0</v>
      </c>
      <c r="D14" s="125" t="s">
        <v>335</v>
      </c>
      <c r="E14" s="125"/>
      <c r="F14" s="125"/>
    </row>
    <row r="15" spans="1:15" ht="24" customHeight="1" x14ac:dyDescent="0.3">
      <c r="A15" s="144" t="s">
        <v>336</v>
      </c>
      <c r="B15" s="144"/>
      <c r="C15" s="86" t="str">
        <f>IFERROR(C6/C12,"")</f>
        <v/>
      </c>
      <c r="D15" s="125" t="s">
        <v>337</v>
      </c>
      <c r="E15" s="125"/>
      <c r="F15" s="125"/>
    </row>
    <row r="16" spans="1:15" ht="24" customHeight="1" x14ac:dyDescent="0.3">
      <c r="A16" s="143" t="s">
        <v>338</v>
      </c>
      <c r="B16" s="143"/>
      <c r="C16" s="88" t="str">
        <f>IFERROR(C6-C15,"")</f>
        <v/>
      </c>
      <c r="D16" s="125" t="s">
        <v>339</v>
      </c>
      <c r="E16" s="125"/>
      <c r="F16" s="125"/>
    </row>
    <row r="17" spans="1:15" ht="24" customHeight="1" x14ac:dyDescent="0.3">
      <c r="A17" s="144" t="s">
        <v>340</v>
      </c>
      <c r="B17" s="144"/>
      <c r="C17" s="89">
        <f>IFERROR((C6-C10)/(C6-C8),"")</f>
        <v>0</v>
      </c>
      <c r="D17" s="125" t="s">
        <v>341</v>
      </c>
      <c r="E17" s="125"/>
      <c r="F17" s="125"/>
    </row>
    <row r="19" spans="1:15" ht="15" customHeight="1" x14ac:dyDescent="0.3">
      <c r="A19" s="105" t="s">
        <v>342</v>
      </c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</row>
    <row r="20" spans="1:15" ht="27.75" customHeight="1" x14ac:dyDescent="0.3">
      <c r="A20" s="145" t="s">
        <v>343</v>
      </c>
      <c r="B20" s="145"/>
      <c r="C20" s="145"/>
      <c r="D20" s="152" t="str">
        <f>IFERROR(IF(C12&gt;=1,"✅ SOUS BUDGET",IF(C12&gt;=0.85,"⚠️ ATTENTION","🔴 DÉPASSEMENT")),"N/A")</f>
        <v>🔴 DÉPASSEMENT</v>
      </c>
      <c r="E20" s="152"/>
      <c r="F20" s="152"/>
    </row>
    <row r="21" spans="1:15" ht="27.75" customHeight="1" x14ac:dyDescent="0.3">
      <c r="A21" s="145" t="s">
        <v>344</v>
      </c>
      <c r="B21" s="145"/>
      <c r="C21" s="145"/>
      <c r="D21" s="152" t="str">
        <f>IFERROR(IF(C14&gt;=1,"✅ EN AVANCE",IF(C14&gt;=0.9,"⚠️ LÉGER RETARD","🔴 RETARD CRITIQUE")),"N/A")</f>
        <v>🔴 RETARD CRITIQUE</v>
      </c>
      <c r="E21" s="152"/>
      <c r="F21" s="152"/>
    </row>
    <row r="22" spans="1:15" ht="33.75" customHeight="1" x14ac:dyDescent="0.3">
      <c r="A22" s="128" t="s">
        <v>345</v>
      </c>
      <c r="B22" s="128"/>
      <c r="C22" s="128"/>
      <c r="D22" s="146" t="str">
        <f>IFERROR(IF(AND(C12&gt;=0.9,C14&gt;=0.9),"🟢 VERT — Projet sous contrôle",IF(AND(C12&gt;=0.75,C14&gt;=0.75),"🟡 AMBRE — Surveillance requise","🔴 ROUGE — Action corrective urgente")),"N/A")</f>
        <v>🔴 ROUGE — Action corrective urgente</v>
      </c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</row>
    <row r="24" spans="1:15" ht="15" customHeight="1" x14ac:dyDescent="0.3">
      <c r="A24" s="105" t="s">
        <v>346</v>
      </c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</row>
    <row r="25" spans="1:15" ht="21.75" customHeight="1" x14ac:dyDescent="0.3">
      <c r="A25" s="144" t="s">
        <v>347</v>
      </c>
      <c r="B25" s="144"/>
      <c r="C25" s="90">
        <f>'5. Risks Analysis'!H19</f>
        <v>1</v>
      </c>
    </row>
    <row r="26" spans="1:15" ht="21.75" customHeight="1" x14ac:dyDescent="0.3">
      <c r="A26" s="143" t="s">
        <v>348</v>
      </c>
      <c r="B26" s="143"/>
      <c r="C26" s="90">
        <f>'5. Risks Analysis'!H20</f>
        <v>6</v>
      </c>
    </row>
    <row r="27" spans="1:15" ht="21.75" customHeight="1" x14ac:dyDescent="0.3">
      <c r="A27" s="144" t="s">
        <v>349</v>
      </c>
      <c r="B27" s="144"/>
      <c r="C27" s="90">
        <f>'5. Risks Analysis'!H21</f>
        <v>3</v>
      </c>
    </row>
    <row r="28" spans="1:15" ht="21.75" customHeight="1" x14ac:dyDescent="0.3">
      <c r="A28" s="143" t="s">
        <v>350</v>
      </c>
      <c r="B28" s="143"/>
      <c r="C28" s="90">
        <f>'5. Risks Analysis'!H23</f>
        <v>10.199999999999999</v>
      </c>
    </row>
    <row r="29" spans="1:15" ht="15" customHeight="1" x14ac:dyDescent="0.3">
      <c r="C29" s="91" t="str">
        <f>IFERROR(IF(AND(C12&gt;=0.9,C14&gt;=0.9),"🟢 VERT",IF(AND(C12&gt;=0.75,C14&gt;=0.75),"🟡 AMBRE","🔴 ROUGE")),"N/A")</f>
        <v>🔴 ROUGE</v>
      </c>
    </row>
    <row r="32" spans="1:15" ht="27.75" customHeight="1" x14ac:dyDescent="0.35">
      <c r="A32" s="147" t="s">
        <v>351</v>
      </c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</row>
    <row r="33" spans="18:20" x14ac:dyDescent="0.3">
      <c r="R33" s="92" t="s">
        <v>352</v>
      </c>
      <c r="S33" s="92" t="s">
        <v>353</v>
      </c>
      <c r="T33" s="92" t="s">
        <v>184</v>
      </c>
    </row>
    <row r="34" spans="18:20" x14ac:dyDescent="0.3">
      <c r="R34" s="45" t="s">
        <v>354</v>
      </c>
      <c r="S34" s="93">
        <f>C12</f>
        <v>0</v>
      </c>
      <c r="T34" s="93">
        <v>1</v>
      </c>
    </row>
    <row r="35" spans="18:20" x14ac:dyDescent="0.3">
      <c r="R35" s="50" t="s">
        <v>355</v>
      </c>
      <c r="S35" s="94">
        <f>C14</f>
        <v>0</v>
      </c>
      <c r="T35" s="94">
        <v>1</v>
      </c>
    </row>
    <row r="36" spans="18:20" x14ac:dyDescent="0.3">
      <c r="R36" s="45" t="s">
        <v>356</v>
      </c>
      <c r="S36" s="93">
        <f>C17</f>
        <v>0</v>
      </c>
      <c r="T36" s="93">
        <v>1</v>
      </c>
    </row>
  </sheetData>
  <mergeCells count="44">
    <mergeCell ref="A25:B25"/>
    <mergeCell ref="A26:B26"/>
    <mergeCell ref="A27:B27"/>
    <mergeCell ref="A28:B28"/>
    <mergeCell ref="A32:O32"/>
    <mergeCell ref="A21:C21"/>
    <mergeCell ref="D21:F21"/>
    <mergeCell ref="A22:C22"/>
    <mergeCell ref="D22:O22"/>
    <mergeCell ref="A24:O24"/>
    <mergeCell ref="A17:B17"/>
    <mergeCell ref="D17:F17"/>
    <mergeCell ref="A19:O19"/>
    <mergeCell ref="A20:C20"/>
    <mergeCell ref="D20:F20"/>
    <mergeCell ref="A14:B14"/>
    <mergeCell ref="D14:F14"/>
    <mergeCell ref="A15:B15"/>
    <mergeCell ref="D15:F15"/>
    <mergeCell ref="A16:B16"/>
    <mergeCell ref="D16:F16"/>
    <mergeCell ref="A11:B11"/>
    <mergeCell ref="D11:F11"/>
    <mergeCell ref="A12:B12"/>
    <mergeCell ref="D12:F12"/>
    <mergeCell ref="A13:B13"/>
    <mergeCell ref="D13:F13"/>
    <mergeCell ref="A8:B8"/>
    <mergeCell ref="D8:F8"/>
    <mergeCell ref="A9:B9"/>
    <mergeCell ref="D9:F9"/>
    <mergeCell ref="A10:B10"/>
    <mergeCell ref="D10:F10"/>
    <mergeCell ref="A5:O5"/>
    <mergeCell ref="A6:B6"/>
    <mergeCell ref="D6:F6"/>
    <mergeCell ref="A7:B7"/>
    <mergeCell ref="D7:F7"/>
    <mergeCell ref="A1:O1"/>
    <mergeCell ref="A3:C3"/>
    <mergeCell ref="D3:G3"/>
    <mergeCell ref="H3:J3"/>
    <mergeCell ref="K3:M3"/>
    <mergeCell ref="N3:O3"/>
  </mergeCells>
  <conditionalFormatting sqref="C12">
    <cfRule type="cellIs" dxfId="5" priority="2" operator="greaterThanOrEqual">
      <formula>1</formula>
    </cfRule>
    <cfRule type="cellIs" dxfId="4" priority="3" operator="between">
      <formula>0.85</formula>
      <formula>0.999</formula>
    </cfRule>
    <cfRule type="cellIs" dxfId="3" priority="4" operator="lessThan">
      <formula>0.85</formula>
    </cfRule>
  </conditionalFormatting>
  <conditionalFormatting sqref="C14">
    <cfRule type="cellIs" dxfId="2" priority="5" operator="greaterThanOrEqual">
      <formula>1</formula>
    </cfRule>
    <cfRule type="cellIs" dxfId="1" priority="6" operator="between">
      <formula>0.9</formula>
      <formula>0.999</formula>
    </cfRule>
    <cfRule type="cellIs" dxfId="0" priority="7" operator="lessThan">
      <formula>0.9</formula>
    </cfRule>
  </conditionalFormatting>
  <hyperlinks>
    <hyperlink ref="A2" r:id="rId1" location="'MENU%20fr'!B2" xr:uid="{00000000-0004-0000-0F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F4E79"/>
  </sheetPr>
  <dimension ref="A1:F40"/>
  <sheetViews>
    <sheetView showGridLines="0" topLeftCell="A34" zoomScaleNormal="100" workbookViewId="0">
      <selection sqref="A1:F1"/>
    </sheetView>
  </sheetViews>
  <sheetFormatPr baseColWidth="10" defaultColWidth="8.6640625" defaultRowHeight="14.4" x14ac:dyDescent="0.3"/>
  <cols>
    <col min="1" max="1" width="2" customWidth="1"/>
    <col min="2" max="3" width="20" customWidth="1"/>
    <col min="4" max="6" width="15" customWidth="1"/>
  </cols>
  <sheetData>
    <row r="1" spans="1:6" ht="36" customHeight="1" x14ac:dyDescent="0.3">
      <c r="A1" s="98" t="s">
        <v>357</v>
      </c>
      <c r="B1" s="98"/>
      <c r="C1" s="98"/>
      <c r="D1" s="98"/>
      <c r="E1" s="98"/>
      <c r="F1" s="98"/>
    </row>
    <row r="2" spans="1:6" ht="15" customHeight="1" x14ac:dyDescent="0.3">
      <c r="A2" s="15" t="s">
        <v>22</v>
      </c>
    </row>
    <row r="3" spans="1:6" ht="21.75" customHeight="1" x14ac:dyDescent="0.3">
      <c r="A3" s="148" t="s">
        <v>358</v>
      </c>
      <c r="B3" s="148"/>
      <c r="C3" s="148"/>
      <c r="D3" s="148"/>
      <c r="E3" s="148"/>
      <c r="F3" s="148"/>
    </row>
    <row r="4" spans="1:6" ht="21.75" customHeight="1" x14ac:dyDescent="0.3">
      <c r="B4" s="95" t="s">
        <v>102</v>
      </c>
    </row>
    <row r="5" spans="1:6" ht="21.75" customHeight="1" x14ac:dyDescent="0.3">
      <c r="B5" s="95" t="s">
        <v>359</v>
      </c>
    </row>
    <row r="6" spans="1:6" ht="21.75" customHeight="1" x14ac:dyDescent="0.3">
      <c r="B6" s="95" t="s">
        <v>360</v>
      </c>
    </row>
    <row r="8" spans="1:6" ht="21.75" customHeight="1" x14ac:dyDescent="0.3">
      <c r="A8" s="109" t="s">
        <v>361</v>
      </c>
      <c r="B8" s="109"/>
      <c r="C8" s="109"/>
      <c r="D8" s="109"/>
      <c r="E8" s="109"/>
      <c r="F8" s="109"/>
    </row>
    <row r="9" spans="1:6" ht="27.75" customHeight="1" x14ac:dyDescent="0.3">
      <c r="A9" s="149"/>
      <c r="B9" s="149"/>
      <c r="C9" s="149"/>
      <c r="D9" s="149"/>
      <c r="E9" s="149"/>
      <c r="F9" s="149"/>
    </row>
    <row r="10" spans="1:6" ht="21.75" customHeight="1" x14ac:dyDescent="0.3">
      <c r="A10" s="109" t="s">
        <v>362</v>
      </c>
      <c r="B10" s="109"/>
      <c r="C10" s="109"/>
      <c r="D10" s="109"/>
      <c r="E10" s="109"/>
      <c r="F10" s="109"/>
    </row>
    <row r="11" spans="1:6" ht="27.75" customHeight="1" x14ac:dyDescent="0.3">
      <c r="A11" s="149"/>
      <c r="B11" s="149"/>
      <c r="C11" s="149"/>
      <c r="D11" s="149"/>
      <c r="E11" s="149"/>
      <c r="F11" s="149"/>
    </row>
    <row r="12" spans="1:6" ht="27.75" customHeight="1" x14ac:dyDescent="0.3">
      <c r="A12" s="150"/>
      <c r="B12" s="150"/>
      <c r="C12" s="150"/>
      <c r="D12" s="150"/>
      <c r="E12" s="150"/>
      <c r="F12" s="150"/>
    </row>
    <row r="13" spans="1:6" ht="27.75" customHeight="1" x14ac:dyDescent="0.3">
      <c r="A13" s="149"/>
      <c r="B13" s="149"/>
      <c r="C13" s="149"/>
      <c r="D13" s="149"/>
      <c r="E13" s="149"/>
      <c r="F13" s="149"/>
    </row>
    <row r="14" spans="1:6" ht="21.75" customHeight="1" x14ac:dyDescent="0.3">
      <c r="A14" s="109" t="s">
        <v>363</v>
      </c>
      <c r="B14" s="109"/>
      <c r="C14" s="109"/>
      <c r="D14" s="109"/>
      <c r="E14" s="109"/>
      <c r="F14" s="109"/>
    </row>
    <row r="15" spans="1:6" ht="27.75" customHeight="1" x14ac:dyDescent="0.3">
      <c r="A15" s="149"/>
      <c r="B15" s="149"/>
      <c r="C15" s="149"/>
      <c r="D15" s="149"/>
      <c r="E15" s="149"/>
      <c r="F15" s="149"/>
    </row>
    <row r="16" spans="1:6" ht="27.75" customHeight="1" x14ac:dyDescent="0.3">
      <c r="A16" s="150"/>
      <c r="B16" s="150"/>
      <c r="C16" s="150"/>
      <c r="D16" s="150"/>
      <c r="E16" s="150"/>
      <c r="F16" s="150"/>
    </row>
    <row r="17" spans="1:6" ht="27.75" customHeight="1" x14ac:dyDescent="0.3">
      <c r="A17" s="149"/>
      <c r="B17" s="149"/>
      <c r="C17" s="149"/>
      <c r="D17" s="149"/>
      <c r="E17" s="149"/>
      <c r="F17" s="149"/>
    </row>
    <row r="18" spans="1:6" ht="21.75" customHeight="1" x14ac:dyDescent="0.3">
      <c r="A18" s="109" t="s">
        <v>364</v>
      </c>
      <c r="B18" s="109"/>
      <c r="C18" s="109"/>
      <c r="D18" s="109"/>
      <c r="E18" s="109"/>
      <c r="F18" s="109"/>
    </row>
    <row r="19" spans="1:6" ht="27.75" customHeight="1" x14ac:dyDescent="0.3">
      <c r="A19" s="149"/>
      <c r="B19" s="149"/>
      <c r="C19" s="149"/>
      <c r="D19" s="149"/>
      <c r="E19" s="149"/>
      <c r="F19" s="149"/>
    </row>
    <row r="20" spans="1:6" ht="27.75" customHeight="1" x14ac:dyDescent="0.3">
      <c r="A20" s="150"/>
      <c r="B20" s="150"/>
      <c r="C20" s="150"/>
      <c r="D20" s="150"/>
      <c r="E20" s="150"/>
      <c r="F20" s="150"/>
    </row>
    <row r="21" spans="1:6" ht="27.75" customHeight="1" x14ac:dyDescent="0.3">
      <c r="A21" s="149"/>
      <c r="B21" s="149"/>
      <c r="C21" s="149"/>
      <c r="D21" s="149"/>
      <c r="E21" s="149"/>
      <c r="F21" s="149"/>
    </row>
    <row r="22" spans="1:6" ht="21.75" customHeight="1" x14ac:dyDescent="0.3">
      <c r="A22" s="148" t="s">
        <v>365</v>
      </c>
      <c r="B22" s="148"/>
      <c r="C22" s="148"/>
    </row>
    <row r="23" spans="1:6" ht="21.75" customHeight="1" x14ac:dyDescent="0.3">
      <c r="B23" s="95" t="s">
        <v>366</v>
      </c>
      <c r="C23" s="96">
        <f>'13. Dashboard'!C14</f>
        <v>0</v>
      </c>
    </row>
    <row r="24" spans="1:6" ht="21.75" customHeight="1" x14ac:dyDescent="0.3">
      <c r="B24" s="95" t="s">
        <v>367</v>
      </c>
    </row>
    <row r="25" spans="1:6" ht="27.75" customHeight="1" x14ac:dyDescent="0.3">
      <c r="A25" s="149"/>
      <c r="B25" s="149"/>
      <c r="C25" s="149"/>
      <c r="D25" s="149"/>
      <c r="E25" s="149"/>
      <c r="F25" s="149"/>
    </row>
    <row r="26" spans="1:6" ht="21.75" customHeight="1" x14ac:dyDescent="0.3">
      <c r="A26" s="148" t="s">
        <v>368</v>
      </c>
      <c r="B26" s="148"/>
      <c r="C26" s="148"/>
    </row>
    <row r="27" spans="1:6" ht="21.75" customHeight="1" x14ac:dyDescent="0.3">
      <c r="B27" s="95" t="s">
        <v>369</v>
      </c>
      <c r="C27" s="96">
        <f>'13. Dashboard'!C12</f>
        <v>0</v>
      </c>
    </row>
    <row r="28" spans="1:6" ht="21.75" customHeight="1" x14ac:dyDescent="0.3">
      <c r="B28" s="95" t="s">
        <v>370</v>
      </c>
      <c r="C28" s="97" t="str">
        <f>'13. Dashboard'!C15</f>
        <v/>
      </c>
    </row>
    <row r="29" spans="1:6" ht="27.75" customHeight="1" x14ac:dyDescent="0.3">
      <c r="A29" s="149"/>
      <c r="B29" s="149"/>
      <c r="C29" s="149"/>
      <c r="D29" s="149"/>
      <c r="E29" s="149"/>
      <c r="F29" s="149"/>
    </row>
    <row r="30" spans="1:6" ht="21.75" customHeight="1" x14ac:dyDescent="0.3">
      <c r="A30" s="109" t="s">
        <v>371</v>
      </c>
      <c r="B30" s="109"/>
      <c r="C30" s="109"/>
      <c r="D30" s="109"/>
      <c r="E30" s="109"/>
      <c r="F30" s="109"/>
    </row>
    <row r="31" spans="1:6" ht="15" customHeight="1" x14ac:dyDescent="0.3">
      <c r="B31" s="22" t="s">
        <v>372</v>
      </c>
      <c r="C31" s="22" t="s">
        <v>373</v>
      </c>
      <c r="D31" s="22" t="s">
        <v>374</v>
      </c>
      <c r="E31" s="22" t="s">
        <v>375</v>
      </c>
      <c r="F31" s="22" t="s">
        <v>376</v>
      </c>
    </row>
    <row r="32" spans="1:6" ht="21.75" customHeight="1" x14ac:dyDescent="0.3">
      <c r="B32" s="75"/>
      <c r="C32" s="75"/>
      <c r="D32" s="75"/>
      <c r="E32" s="75"/>
      <c r="F32" s="75"/>
    </row>
    <row r="33" spans="1:6" ht="21.75" customHeight="1" x14ac:dyDescent="0.3">
      <c r="B33" s="81"/>
      <c r="C33" s="81"/>
      <c r="D33" s="81"/>
      <c r="E33" s="81"/>
      <c r="F33" s="81"/>
    </row>
    <row r="34" spans="1:6" ht="21.75" customHeight="1" x14ac:dyDescent="0.3">
      <c r="A34" s="109" t="s">
        <v>377</v>
      </c>
      <c r="B34" s="109"/>
      <c r="C34" s="109"/>
      <c r="D34" s="109"/>
      <c r="E34" s="109"/>
      <c r="F34" s="109"/>
    </row>
    <row r="35" spans="1:6" ht="27.75" customHeight="1" x14ac:dyDescent="0.3">
      <c r="A35" s="149"/>
      <c r="B35" s="149"/>
      <c r="C35" s="149"/>
      <c r="D35" s="149"/>
      <c r="E35" s="149"/>
      <c r="F35" s="149"/>
    </row>
    <row r="36" spans="1:6" ht="27.75" customHeight="1" x14ac:dyDescent="0.3">
      <c r="A36" s="150"/>
      <c r="B36" s="150"/>
      <c r="C36" s="150"/>
      <c r="D36" s="150"/>
      <c r="E36" s="150"/>
      <c r="F36" s="150"/>
    </row>
    <row r="37" spans="1:6" ht="27.75" customHeight="1" x14ac:dyDescent="0.3">
      <c r="A37" s="149"/>
      <c r="B37" s="149"/>
      <c r="C37" s="149"/>
      <c r="D37" s="149"/>
      <c r="E37" s="149"/>
      <c r="F37" s="149"/>
    </row>
    <row r="38" spans="1:6" ht="21.75" customHeight="1" x14ac:dyDescent="0.3">
      <c r="A38" s="109" t="s">
        <v>378</v>
      </c>
      <c r="B38" s="109"/>
      <c r="C38" s="109"/>
      <c r="D38" s="109"/>
      <c r="E38" s="109"/>
      <c r="F38" s="109"/>
    </row>
    <row r="39" spans="1:6" ht="27.75" customHeight="1" x14ac:dyDescent="0.3">
      <c r="A39" s="149"/>
      <c r="B39" s="149"/>
      <c r="C39" s="149"/>
      <c r="D39" s="149"/>
      <c r="E39" s="149"/>
      <c r="F39" s="149"/>
    </row>
    <row r="40" spans="1:6" ht="27.75" customHeight="1" x14ac:dyDescent="0.3">
      <c r="A40" s="150"/>
      <c r="B40" s="150"/>
      <c r="C40" s="150"/>
      <c r="D40" s="150"/>
      <c r="E40" s="150"/>
      <c r="F40" s="150"/>
    </row>
  </sheetData>
  <mergeCells count="28">
    <mergeCell ref="A38:F38"/>
    <mergeCell ref="A39:F39"/>
    <mergeCell ref="A40:F40"/>
    <mergeCell ref="A30:F30"/>
    <mergeCell ref="A34:F34"/>
    <mergeCell ref="A35:F35"/>
    <mergeCell ref="A36:F36"/>
    <mergeCell ref="A37:F37"/>
    <mergeCell ref="A21:F21"/>
    <mergeCell ref="A22:C22"/>
    <mergeCell ref="A25:F25"/>
    <mergeCell ref="A26:C26"/>
    <mergeCell ref="A29:F29"/>
    <mergeCell ref="A16:F16"/>
    <mergeCell ref="A17:F17"/>
    <mergeCell ref="A18:F18"/>
    <mergeCell ref="A19:F19"/>
    <mergeCell ref="A20:F20"/>
    <mergeCell ref="A11:F11"/>
    <mergeCell ref="A12:F12"/>
    <mergeCell ref="A13:F13"/>
    <mergeCell ref="A14:F14"/>
    <mergeCell ref="A15:F15"/>
    <mergeCell ref="A1:F1"/>
    <mergeCell ref="A3:F3"/>
    <mergeCell ref="A8:F8"/>
    <mergeCell ref="A9:F9"/>
    <mergeCell ref="A10:F10"/>
  </mergeCells>
  <hyperlinks>
    <hyperlink ref="A2" r:id="rId1" location="'MENU%20fr'!B2" xr:uid="{00000000-0004-0000-10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1F4E79"/>
  </sheetPr>
  <dimension ref="A1:I17"/>
  <sheetViews>
    <sheetView showGridLines="0" zoomScaleNormal="100" workbookViewId="0">
      <pane ySplit="5" topLeftCell="A15" activePane="bottomLeft" state="frozen"/>
      <selection pane="bottomLeft" sqref="A1:I1"/>
    </sheetView>
  </sheetViews>
  <sheetFormatPr baseColWidth="10" defaultColWidth="8.6640625" defaultRowHeight="14.4" x14ac:dyDescent="0.3"/>
  <cols>
    <col min="1" max="1" width="20" customWidth="1"/>
    <col min="2" max="2" width="25" customWidth="1"/>
    <col min="3" max="5" width="12" customWidth="1"/>
    <col min="6" max="7" width="10" customWidth="1"/>
    <col min="8" max="8" width="35" customWidth="1"/>
    <col min="9" max="9" width="16" customWidth="1"/>
  </cols>
  <sheetData>
    <row r="1" spans="1:9" ht="36" customHeight="1" x14ac:dyDescent="0.3">
      <c r="A1" s="98" t="s">
        <v>379</v>
      </c>
      <c r="B1" s="98"/>
      <c r="C1" s="98"/>
      <c r="D1" s="98"/>
      <c r="E1" s="98"/>
      <c r="F1" s="98"/>
      <c r="G1" s="98"/>
      <c r="H1" s="98"/>
      <c r="I1" s="98"/>
    </row>
    <row r="2" spans="1:9" ht="15" customHeight="1" x14ac:dyDescent="0.3">
      <c r="A2" s="15" t="s">
        <v>22</v>
      </c>
    </row>
    <row r="3" spans="1:9" ht="15" customHeight="1" x14ac:dyDescent="0.3">
      <c r="A3" s="111" t="s">
        <v>102</v>
      </c>
      <c r="B3" s="111"/>
      <c r="C3" s="111"/>
      <c r="D3" s="112">
        <f>'0. Profil'!C5</f>
        <v>0</v>
      </c>
      <c r="E3" s="112"/>
      <c r="F3" s="112"/>
      <c r="G3" s="112"/>
    </row>
    <row r="4" spans="1:9" ht="15" customHeight="1" x14ac:dyDescent="0.3">
      <c r="A4" s="105" t="s">
        <v>380</v>
      </c>
      <c r="B4" s="105"/>
      <c r="C4" s="105"/>
      <c r="D4" s="105"/>
      <c r="E4" s="105"/>
      <c r="F4" s="105"/>
      <c r="G4" s="105"/>
      <c r="H4" s="105"/>
      <c r="I4" s="105"/>
    </row>
    <row r="5" spans="1:9" ht="31.5" customHeight="1" x14ac:dyDescent="0.3">
      <c r="A5" s="22" t="s">
        <v>131</v>
      </c>
      <c r="B5" s="22" t="s">
        <v>381</v>
      </c>
      <c r="C5" s="22" t="s">
        <v>382</v>
      </c>
      <c r="D5" s="22" t="s">
        <v>383</v>
      </c>
      <c r="E5" s="22" t="s">
        <v>384</v>
      </c>
      <c r="F5" s="22" t="s">
        <v>198</v>
      </c>
      <c r="G5" s="22" t="s">
        <v>191</v>
      </c>
      <c r="H5" s="22" t="s">
        <v>385</v>
      </c>
      <c r="I5" s="22" t="s">
        <v>386</v>
      </c>
    </row>
    <row r="6" spans="1:9" ht="21.75" customHeight="1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21.75" customHeight="1" x14ac:dyDescent="0.3">
      <c r="A7" s="24"/>
      <c r="B7" s="24"/>
      <c r="C7" s="24"/>
      <c r="D7" s="24"/>
      <c r="E7" s="24"/>
      <c r="F7" s="24"/>
      <c r="G7" s="24"/>
      <c r="H7" s="24"/>
      <c r="I7" s="24"/>
    </row>
    <row r="8" spans="1:9" ht="21.75" customHeight="1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21.75" customHeight="1" x14ac:dyDescent="0.3">
      <c r="A9" s="24"/>
      <c r="B9" s="24"/>
      <c r="C9" s="24"/>
      <c r="D9" s="24"/>
      <c r="E9" s="24"/>
      <c r="F9" s="24"/>
      <c r="G9" s="24"/>
      <c r="H9" s="24"/>
      <c r="I9" s="24"/>
    </row>
    <row r="10" spans="1:9" ht="21.75" customHeight="1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21.75" customHeight="1" x14ac:dyDescent="0.3">
      <c r="A11" s="24"/>
      <c r="B11" s="24"/>
      <c r="C11" s="24"/>
      <c r="D11" s="24"/>
      <c r="E11" s="24"/>
      <c r="F11" s="24"/>
      <c r="G11" s="24"/>
      <c r="H11" s="24"/>
      <c r="I11" s="24"/>
    </row>
    <row r="12" spans="1:9" ht="21.75" customHeight="1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21.75" customHeight="1" x14ac:dyDescent="0.3">
      <c r="A13" s="24"/>
      <c r="B13" s="24"/>
      <c r="C13" s="24"/>
      <c r="D13" s="24"/>
      <c r="E13" s="24"/>
      <c r="F13" s="24"/>
      <c r="G13" s="24"/>
      <c r="H13" s="24"/>
      <c r="I13" s="24"/>
    </row>
    <row r="14" spans="1:9" ht="21.75" customHeight="1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21.75" customHeight="1" x14ac:dyDescent="0.3">
      <c r="A15" s="24"/>
      <c r="B15" s="24"/>
      <c r="C15" s="24"/>
      <c r="D15" s="24"/>
      <c r="E15" s="24"/>
      <c r="F15" s="24"/>
      <c r="G15" s="24"/>
      <c r="H15" s="24"/>
      <c r="I15" s="24"/>
    </row>
    <row r="16" spans="1:9" ht="21.75" customHeight="1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21.75" customHeight="1" x14ac:dyDescent="0.3">
      <c r="A17" s="24"/>
      <c r="B17" s="24"/>
      <c r="C17" s="24"/>
      <c r="D17" s="24"/>
      <c r="E17" s="24"/>
      <c r="F17" s="24"/>
      <c r="G17" s="24"/>
      <c r="H17" s="24"/>
      <c r="I17" s="24"/>
    </row>
  </sheetData>
  <mergeCells count="4">
    <mergeCell ref="A1:I1"/>
    <mergeCell ref="A3:C3"/>
    <mergeCell ref="D3:G3"/>
    <mergeCell ref="A4:I4"/>
  </mergeCells>
  <hyperlinks>
    <hyperlink ref="A2" r:id="rId1" location="'MENU%20fr'!B2" xr:uid="{00000000-0004-0000-11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F4E79"/>
  </sheetPr>
  <dimension ref="A1:K13"/>
  <sheetViews>
    <sheetView showGridLines="0" zoomScaleNormal="100" workbookViewId="0">
      <pane ySplit="5" topLeftCell="A6" activePane="bottomLeft" state="frozen"/>
      <selection pane="bottomLeft" sqref="A1:K1"/>
    </sheetView>
  </sheetViews>
  <sheetFormatPr baseColWidth="10" defaultColWidth="8.6640625" defaultRowHeight="14.4" x14ac:dyDescent="0.3"/>
  <cols>
    <col min="1" max="1" width="5" customWidth="1"/>
    <col min="2" max="2" width="30" customWidth="1"/>
    <col min="3" max="3" width="8" customWidth="1"/>
    <col min="4" max="5" width="16" customWidth="1"/>
    <col min="6" max="6" width="14" customWidth="1"/>
    <col min="7" max="7" width="16" customWidth="1"/>
    <col min="8" max="9" width="18" customWidth="1"/>
    <col min="10" max="10" width="10" customWidth="1"/>
    <col min="11" max="11" width="14" customWidth="1"/>
  </cols>
  <sheetData>
    <row r="1" spans="1:11" ht="36" customHeight="1" x14ac:dyDescent="0.3">
      <c r="A1" s="98" t="s">
        <v>387</v>
      </c>
      <c r="B1" s="98"/>
      <c r="C1" s="98"/>
      <c r="D1" s="98"/>
      <c r="E1" s="98"/>
      <c r="F1" s="98"/>
      <c r="G1" s="98"/>
      <c r="H1" s="98"/>
      <c r="I1" s="98"/>
      <c r="J1" s="98"/>
      <c r="K1" s="98"/>
    </row>
    <row r="2" spans="1:11" ht="15" customHeight="1" x14ac:dyDescent="0.3">
      <c r="A2" s="15" t="s">
        <v>22</v>
      </c>
    </row>
    <row r="3" spans="1:11" ht="15" customHeight="1" x14ac:dyDescent="0.3">
      <c r="A3" s="111" t="s">
        <v>102</v>
      </c>
      <c r="B3" s="111"/>
      <c r="C3" s="111"/>
      <c r="D3" s="112">
        <f>'0. Profil'!C5</f>
        <v>0</v>
      </c>
      <c r="E3" s="112"/>
      <c r="F3" s="112"/>
      <c r="G3" s="112"/>
    </row>
    <row r="4" spans="1:11" ht="15" customHeight="1" x14ac:dyDescent="0.3">
      <c r="A4" s="105" t="s">
        <v>388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</row>
    <row r="5" spans="1:11" ht="31.5" customHeight="1" x14ac:dyDescent="0.3">
      <c r="A5" s="22" t="s">
        <v>111</v>
      </c>
      <c r="B5" s="22" t="s">
        <v>389</v>
      </c>
      <c r="C5" s="22" t="s">
        <v>390</v>
      </c>
      <c r="D5" s="22" t="s">
        <v>391</v>
      </c>
      <c r="E5" s="22" t="s">
        <v>392</v>
      </c>
      <c r="F5" s="22" t="s">
        <v>393</v>
      </c>
      <c r="G5" s="22" t="s">
        <v>394</v>
      </c>
      <c r="H5" s="22" t="s">
        <v>395</v>
      </c>
      <c r="I5" s="22" t="s">
        <v>396</v>
      </c>
      <c r="J5" s="22" t="s">
        <v>397</v>
      </c>
      <c r="K5" s="22" t="s">
        <v>398</v>
      </c>
    </row>
    <row r="6" spans="1:11" ht="21.75" customHeight="1" x14ac:dyDescent="0.3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</row>
    <row r="7" spans="1:11" ht="21.75" customHeight="1" x14ac:dyDescent="0.3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ht="21.75" customHeight="1" x14ac:dyDescent="0.3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</row>
    <row r="9" spans="1:11" ht="21.75" customHeight="1" x14ac:dyDescent="0.3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</row>
    <row r="10" spans="1:11" ht="21.75" customHeight="1" x14ac:dyDescent="0.3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21.75" customHeight="1" x14ac:dyDescent="0.3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spans="1:11" ht="21.75" customHeight="1" x14ac:dyDescent="0.3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21.75" customHeight="1" x14ac:dyDescent="0.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</row>
  </sheetData>
  <mergeCells count="4">
    <mergeCell ref="A1:K1"/>
    <mergeCell ref="A3:C3"/>
    <mergeCell ref="D3:G3"/>
    <mergeCell ref="A4:K4"/>
  </mergeCells>
  <hyperlinks>
    <hyperlink ref="A2" r:id="rId1" location="'MENU%20fr'!B2" xr:uid="{00000000-0004-0000-1200-000000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19</vt:i4>
      </vt:variant>
      <vt:variant>
        <vt:lpstr>Plages nommées</vt:lpstr>
      </vt:variant>
      <vt:variant>
        <vt:i4>8</vt:i4>
      </vt:variant>
    </vt:vector>
  </HeadingPairs>
  <TitlesOfParts>
    <vt:vector size="27" baseType="lpstr">
      <vt:lpstr>MENU fr</vt:lpstr>
      <vt:lpstr>HOME</vt:lpstr>
      <vt:lpstr>0. Profil</vt:lpstr>
      <vt:lpstr>1. Environment</vt:lpstr>
      <vt:lpstr>2. Stakeholders</vt:lpstr>
      <vt:lpstr>3. Logical Framework</vt:lpstr>
      <vt:lpstr>4. Performance Questions</vt:lpstr>
      <vt:lpstr>5. Risks Analysis</vt:lpstr>
      <vt:lpstr>6. Indicators selection</vt:lpstr>
      <vt:lpstr>7. Efficacy indicators</vt:lpstr>
      <vt:lpstr>8. Indicators files</vt:lpstr>
      <vt:lpstr>9. Indicators Calendar</vt:lpstr>
      <vt:lpstr>10. Data Collection</vt:lpstr>
      <vt:lpstr>11. M&amp;E Matrix</vt:lpstr>
      <vt:lpstr>12. Disbursement Monitoring</vt:lpstr>
      <vt:lpstr>13. Dashboard</vt:lpstr>
      <vt:lpstr>14. Status report</vt:lpstr>
      <vt:lpstr>15. Evaluation Matrix</vt:lpstr>
      <vt:lpstr>16. Procurement Plan</vt:lpstr>
      <vt:lpstr>BudgetTotal</vt:lpstr>
      <vt:lpstr>CBTP_PV</vt:lpstr>
      <vt:lpstr>CRTR_AC</vt:lpstr>
      <vt:lpstr>EAC_Estimation</vt:lpstr>
      <vt:lpstr>IPC_CPI</vt:lpstr>
      <vt:lpstr>IPE_SPI</vt:lpstr>
      <vt:lpstr>PctTravail</vt:lpstr>
      <vt:lpstr>VAC_Variance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seckfifa@gmail.com</cp:lastModifiedBy>
  <cp:revision>1</cp:revision>
  <dcterms:created xsi:type="dcterms:W3CDTF">2026-06-11T22:24:23Z</dcterms:created>
  <dcterms:modified xsi:type="dcterms:W3CDTF">2026-06-13T06:53:42Z</dcterms:modified>
  <dc:language>en-US</dc:language>
</cp:coreProperties>
</file>